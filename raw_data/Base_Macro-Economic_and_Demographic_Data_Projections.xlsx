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-Economic_Demographic Data" sheetId="1" r:id="rId4"/>
    <sheet state="visible" name="CBN GDP" sheetId="2" r:id="rId5"/>
    <sheet state="visible" name="Access Projection Model" sheetId="3" r:id="rId6"/>
    <sheet state="visible" name="Urban Panel" sheetId="4" r:id="rId7"/>
  </sheets>
  <definedNames/>
  <calcPr/>
  <extLst>
    <ext uri="GoogleSheetsCustomDataVersion2">
      <go:sheetsCustomData xmlns:go="http://customooxmlschemas.google.com/" r:id="rId8" roundtripDataChecksum="6f8dDq0D33QvoGrH3Qm77BqLh+Y6FVszuY0faVSMRr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Michael Dioha:
Urbanization (1995-2050) from UN and trend analysis for 2051-2060)
======</t>
      </text>
    </comment>
    <comment authorId="0" ref="J3">
      <text>
        <t xml:space="preserve">Michael Dioha:
Assumed decline with CAGR of falling fertility rate (births per woman) from 1960-2024
======</t>
      </text>
    </comment>
  </commentList>
</comments>
</file>

<file path=xl/sharedStrings.xml><?xml version="1.0" encoding="utf-8"?>
<sst xmlns="http://schemas.openxmlformats.org/spreadsheetml/2006/main" count="261" uniqueCount="253">
  <si>
    <t>World Population Prospects 2024</t>
  </si>
  <si>
    <t>Urban Access: Cross-Country Panel Calibration</t>
  </si>
  <si>
    <t>Return to Menu</t>
  </si>
  <si>
    <t xml:space="preserve">Method: urban access is regressed on ln(GDP per capita) across a 70-country developing-world cross-section (WDI 2020 vintage; matched-year observations; access capped at 99.5% for the logit; GDP pc &lt;= $15,000; countries with mixed data years excluded; Nigeria excluded from estimation). Nigeria's country effect = its actual 2024 logit minus the panel prediction at its income. The projection lets that (negative) country effect decay with a documented half-life - benchmarked on Kenya's and Ghana's urban convergence episodes - toward a 99% ceiling (structural exclusion persists even in rich countries). </t>
  </si>
  <si>
    <t>Year</t>
  </si>
  <si>
    <t>Total Population, as of 1 January (thousands)</t>
  </si>
  <si>
    <t>National Total Population, as of 1 January</t>
  </si>
  <si>
    <t>Urbanization (% of pupulation in Urban Areas)</t>
  </si>
  <si>
    <t>Rural Population</t>
  </si>
  <si>
    <t>Urban Population</t>
  </si>
  <si>
    <t>National Average Household Size</t>
  </si>
  <si>
    <t>Rural Average Household Size</t>
  </si>
  <si>
    <t>Urban Average Household Size</t>
  </si>
  <si>
    <t>Household size CAGR from 1960 - 2024</t>
  </si>
  <si>
    <t>National Total Number of Households</t>
  </si>
  <si>
    <t>Rural Total Number of Households</t>
  </si>
  <si>
    <t>Urban Total Number of Households</t>
  </si>
  <si>
    <t>GDP  (constant 2015 US$)</t>
  </si>
  <si>
    <t xml:space="preserve">GDP (constant 2015 US$) Annual Growth Rate </t>
  </si>
  <si>
    <t>GDP/Capita  (constant 2015 US$)</t>
  </si>
  <si>
    <t>GDP at 2010 Constant Basic Prices (₦' Billion)</t>
  </si>
  <si>
    <t>GDP/Capita  (2010 Basic Price ₦)</t>
  </si>
  <si>
    <t>GDP, PPP (constant 2021 international $)</t>
  </si>
  <si>
    <t>GDP (constant 2021 international $) Annual Growth Rate</t>
  </si>
  <si>
    <t>GDP (constant 2021 international $)</t>
  </si>
  <si>
    <t>Country</t>
  </si>
  <si>
    <t>Access to electricity (% of population) </t>
  </si>
  <si>
    <t>Access to electricity, rural (% of rural population)</t>
  </si>
  <si>
    <t>Access to electricity, urban (% of urban population)</t>
  </si>
  <si>
    <t>Urban access 2020 (%)</t>
  </si>
  <si>
    <t>GDP pc 2020 (constant 2010 US$)</t>
  </si>
  <si>
    <t>Capped access (frac)</t>
  </si>
  <si>
    <t>Logit(access)</t>
  </si>
  <si>
    <t>ln(GDP pc)</t>
  </si>
  <si>
    <t xml:space="preserve">CALIBRATION </t>
  </si>
  <si>
    <t>Costa Rica</t>
  </si>
  <si>
    <t xml:space="preserve">  Table C.1.2: Gross Domestic Product at 2010 Constant Basic Prices - Annual (₦' Billion)</t>
  </si>
  <si>
    <t>Activity Sector</t>
  </si>
  <si>
    <t>Panel slope on ln(GDP pc)</t>
  </si>
  <si>
    <t>Algeria</t>
  </si>
  <si>
    <t>Panel intercept</t>
  </si>
  <si>
    <t>Bulgaria</t>
  </si>
  <si>
    <t>Panel R-squared (logit space)</t>
  </si>
  <si>
    <t>Mexico</t>
  </si>
  <si>
    <t>Nigeria 2020 GDP pc in panel units (2010$, WDI)</t>
  </si>
  <si>
    <t>Comoros</t>
  </si>
  <si>
    <t>Base-year bridge ratio (2015$ series / 2010$ series)</t>
  </si>
  <si>
    <t>2020 1</t>
  </si>
  <si>
    <t>2021 1</t>
  </si>
  <si>
    <t>Mongolia</t>
  </si>
  <si>
    <t>2022 1</t>
  </si>
  <si>
    <t>2023 1</t>
  </si>
  <si>
    <t>2024 1</t>
  </si>
  <si>
    <t>A. AGRICULTURE</t>
  </si>
  <si>
    <t>Nigeria ln(GDP pc 2024, panel units)</t>
  </si>
  <si>
    <t>Panama</t>
  </si>
  <si>
    <t>Panel-predicted urban logit at Nigeria's 2024 income</t>
  </si>
  <si>
    <t>Ecuador</t>
  </si>
  <si>
    <t>Nigeria actual urban logit 2024 (85.5%)</t>
  </si>
  <si>
    <t>Indonesia</t>
  </si>
  <si>
    <t>1.  Crop Production</t>
  </si>
  <si>
    <t>Nigeria country effect (residual, logit units)</t>
  </si>
  <si>
    <t>Kyrgyz Republic</t>
  </si>
  <si>
    <t>Convergence half-life of country effect (years)</t>
  </si>
  <si>
    <t>Afghanistan</t>
  </si>
  <si>
    <t>Urban access ceiling</t>
  </si>
  <si>
    <t>Mauritius</t>
  </si>
  <si>
    <t>Tajikistan</t>
  </si>
  <si>
    <t>Half-life benchmark: Kenya's urban access rose from ~60% (2000) to 94% (2020) - the unserved gap halved roughly every 7-8 years; Ghana's episode implies ~10 years. 12 years is chosen as a deliberately conservative central value. Ceiling of 99% reflects persistent structural exclusion (informal settlements) observed even in upper-middle-income countries.</t>
  </si>
  <si>
    <t>2.  Livestock</t>
  </si>
  <si>
    <t>Suriname</t>
  </si>
  <si>
    <t>Gabon</t>
  </si>
  <si>
    <t>Belize</t>
  </si>
  <si>
    <t>Philippines</t>
  </si>
  <si>
    <t>Bangladesh</t>
  </si>
  <si>
    <t>Guatemala</t>
  </si>
  <si>
    <t>3.  Forestry</t>
  </si>
  <si>
    <t>Projection of Urban &amp; Rural Electricity Access, 2025-2060</t>
  </si>
  <si>
    <t>Cambodia</t>
  </si>
  <si>
    <t>Drivers used (1) INCOME/AFFORDABILITY - access in each segment is a logistic function of GDP per capita in constant 2015 US, fitted by OLS on the logit transform: ln(a/(1-a)) = intercept + slope x ln(GDP pc). (2) URBANIZATION/DENSITY - national access is the urbanization-weighted average of the two segment curves, so rural-to-urban migration mechanically raises national access (the composition effect). Other drivers - utility finances, policy programs, off-grid cost declines - are captured implicitly in the fitted elasticities and noted under caveats.</t>
  </si>
  <si>
    <t>Guyana</t>
  </si>
  <si>
    <t>Vanuatu</t>
  </si>
  <si>
    <t>Senegal</t>
  </si>
  <si>
    <t>FITTED PARAMETERS (estimation sample 1995-2024, n=30)</t>
  </si>
  <si>
    <t>4.  Fishing</t>
  </si>
  <si>
    <t>GDP pc (2015 US$)</t>
  </si>
  <si>
    <t>Ghana</t>
  </si>
  <si>
    <t>Urban access (actual)</t>
  </si>
  <si>
    <t>logit(urban)</t>
  </si>
  <si>
    <t>Rural access (actual)</t>
  </si>
  <si>
    <t>logit(rural)</t>
  </si>
  <si>
    <t>PARAMETERS</t>
  </si>
  <si>
    <t>Cabo Verde</t>
  </si>
  <si>
    <t>RURAL MODEL: OUT-OF-SAMPLE BACKCAST</t>
  </si>
  <si>
    <t>Cote d'Ivoire</t>
  </si>
  <si>
    <t>Nepal</t>
  </si>
  <si>
    <t>Togo</t>
  </si>
  <si>
    <t>Mali</t>
  </si>
  <si>
    <t>B. INDUSTRY</t>
  </si>
  <si>
    <t>Cameroon</t>
  </si>
  <si>
    <t>Kenya</t>
  </si>
  <si>
    <t>Ethiopia</t>
  </si>
  <si>
    <t>Urban: slope on ln(GDP pc)</t>
  </si>
  <si>
    <t>Myanmar</t>
  </si>
  <si>
    <t>Eswatini</t>
  </si>
  <si>
    <t>Slope fitted on 1995-2014 only</t>
  </si>
  <si>
    <t>1.  Mining and Quarrying</t>
  </si>
  <si>
    <t>Equatorial Guinea</t>
  </si>
  <si>
    <t>Botswana</t>
  </si>
  <si>
    <t>South Africa</t>
  </si>
  <si>
    <t>Kiribati</t>
  </si>
  <si>
    <t>Urban: intercept</t>
  </si>
  <si>
    <t>Intercept fitted on 1995-2014 only</t>
  </si>
  <si>
    <t xml:space="preserve">        a. Crude Petroleum and Natural Gas</t>
  </si>
  <si>
    <t>Mauritania</t>
  </si>
  <si>
    <t>Guinea</t>
  </si>
  <si>
    <t>Rwanda</t>
  </si>
  <si>
    <t>Zimbabwe</t>
  </si>
  <si>
    <t>Papua New Guinea</t>
  </si>
  <si>
    <t xml:space="preserve">        b. Coal Mining</t>
  </si>
  <si>
    <t>Zambia</t>
  </si>
  <si>
    <t>Urban: R-squared (logit space)</t>
  </si>
  <si>
    <t>Sudan</t>
  </si>
  <si>
    <t>Gambia, The</t>
  </si>
  <si>
    <t>Haiti</t>
  </si>
  <si>
    <t>Sao Tome and Principe</t>
  </si>
  <si>
    <t>Rural: slope on ln(GDP pc)</t>
  </si>
  <si>
    <t xml:space="preserve">        c.  Metal Ores</t>
  </si>
  <si>
    <t>Lesotho</t>
  </si>
  <si>
    <t>Solomon Islands</t>
  </si>
  <si>
    <t>Predicted rural (%)</t>
  </si>
  <si>
    <t>Actual rural (%)</t>
  </si>
  <si>
    <t>Abs error (pp)</t>
  </si>
  <si>
    <t>Mozambique</t>
  </si>
  <si>
    <t>Namibia</t>
  </si>
  <si>
    <t>Angola</t>
  </si>
  <si>
    <t xml:space="preserve">        d. Quarrying and Other Minerals</t>
  </si>
  <si>
    <t>Rural: intercept</t>
  </si>
  <si>
    <t>Tanzania</t>
  </si>
  <si>
    <t>Djibouti</t>
  </si>
  <si>
    <t>Madagascar</t>
  </si>
  <si>
    <t>2.  Manufacturing</t>
  </si>
  <si>
    <t>Somalia</t>
  </si>
  <si>
    <t>Uganda</t>
  </si>
  <si>
    <t>Benin</t>
  </si>
  <si>
    <t>Rural: R-squared (logit space)</t>
  </si>
  <si>
    <t xml:space="preserve">        a.  Oil Refining</t>
  </si>
  <si>
    <t>Congo, Rep.</t>
  </si>
  <si>
    <t>Burkina Faso</t>
  </si>
  <si>
    <t>Burundi</t>
  </si>
  <si>
    <t>Guinea-Bissau</t>
  </si>
  <si>
    <t>Sierra Leone</t>
  </si>
  <si>
    <t xml:space="preserve">        b.  Cement</t>
  </si>
  <si>
    <t>Malawi</t>
  </si>
  <si>
    <t>Niger</t>
  </si>
  <si>
    <t>Liberia</t>
  </si>
  <si>
    <t>Interpretation: rural access is arguably income-driven (R2 ~ 0.47). Urban access history is flat (R2 ~ 0.02), so the urban projection instead uses the cross-country panel calibration on the 'Urban Panel' sheet: Nigeria's negative country effect (-1.13 logit) decays with a 12-year half-life toward the international income norm</t>
  </si>
  <si>
    <t>Congo, Dem. Rep.</t>
  </si>
  <si>
    <t>Chad</t>
  </si>
  <si>
    <t xml:space="preserve">        c.  Food, Beverage and Tobacco</t>
  </si>
  <si>
    <t>Central African Republic</t>
  </si>
  <si>
    <t>Source: World Bank WDI - EG.ELC.ACCS.UR.ZS and NY.GDP.PCAP.KD, 2020 values, retrieved via IndexMundi country rankings (https://www.indexmundi.com/facts/indicators/EG.ELC.ACCS.UR.ZS/rankings ; https://www.indexmundi.com/facts/indicators/NY.GDP.PCAP.KD/rankings). Nigeria's own 2020 row (83.90%, $2,396.04) is deliberately excluded from estimation and used only for the bridge ratio below.</t>
  </si>
  <si>
    <t xml:space="preserve">        d.  Textile, Apparel and Footwear</t>
  </si>
  <si>
    <t xml:space="preserve">        e.  Wood and Wood Products</t>
  </si>
  <si>
    <t xml:space="preserve">        f.   Pulp, Paper and Paper  Products</t>
  </si>
  <si>
    <t xml:space="preserve">        g.  Chemical and  Pharmaceutical Products </t>
  </si>
  <si>
    <t xml:space="preserve">        h.  Non-Metallic Products</t>
  </si>
  <si>
    <t xml:space="preserve">        i.   Plastic and Rubber products</t>
  </si>
  <si>
    <t>Mean absolute error, 2015-2024 (pp)</t>
  </si>
  <si>
    <t xml:space="preserve">        j.   Electrical and Electronics</t>
  </si>
  <si>
    <t xml:space="preserve">        k.  Basic metal , Iron and Steel</t>
  </si>
  <si>
    <t>SOURCES</t>
  </si>
  <si>
    <t>RURAL MODEL: 95% CONFIDENCE INTERVAL ON INCOME ELASTICITY</t>
  </si>
  <si>
    <t xml:space="preserve">        l.   Motor vehicles &amp;  assembly</t>
  </si>
  <si>
    <t>Historical urban/rural/national access 1995-2024: World Bank WDI https://data.worldbank.org/indicator/EG.ELC.ACCS.ZS?locations=NG</t>
  </si>
  <si>
    <t>Standard error of slope (full sample)</t>
  </si>
  <si>
    <t xml:space="preserve">GDP per capita, constant 2015 US$ </t>
  </si>
  <si>
    <t>t-value (df=28, 95%)</t>
  </si>
  <si>
    <t xml:space="preserve">        m. Other Manufacturing</t>
  </si>
  <si>
    <t>3.   Electricity,Gas,Steam &amp; Air conditioner</t>
  </si>
  <si>
    <t>Slope lower / central / upper</t>
  </si>
  <si>
    <t>4.   Water supply, sewage, waste Mang.</t>
  </si>
  <si>
    <t>(central)</t>
  </si>
  <si>
    <t>(upper)</t>
  </si>
  <si>
    <t>5.   Construction</t>
  </si>
  <si>
    <t>Rural access 2060 - lower (%)</t>
  </si>
  <si>
    <t>C. SERVICES</t>
  </si>
  <si>
    <t>1.  Trade</t>
  </si>
  <si>
    <t>Rural access 2060 - central (%)</t>
  </si>
  <si>
    <t>2.   Accomadation and Food Services</t>
  </si>
  <si>
    <t>3.  Transportation and Storage</t>
  </si>
  <si>
    <t>Rural access 2060 - upper (%)</t>
  </si>
  <si>
    <t xml:space="preserve">         a.  Road Transport</t>
  </si>
  <si>
    <t xml:space="preserve">         b.  Rail Transport &amp; Pipelines</t>
  </si>
  <si>
    <t xml:space="preserve">Rural approach model passes out-of-sample validation - fitted on 1995-2014 it predicts 2015-2024 within ~3 pp MAE, and rural access, unlike urban, is far from any ceiling, so convergence dynamics matter less before 2060. The 95% CI fan brackets the 2060 stimate. Caveat: the fit embeds historical grid economics; the collapsing cost of solar home systems and mini-grids (e.g. World Bank DARES) is an upside risk, so the projection path should be read as conservative. </t>
  </si>
  <si>
    <t xml:space="preserve">         c. Water Transport</t>
  </si>
  <si>
    <t xml:space="preserve">         d. Air Transport</t>
  </si>
  <si>
    <t xml:space="preserve">         e. Transport Services</t>
  </si>
  <si>
    <t xml:space="preserve">PROJECTION 2025-2060 </t>
  </si>
  <si>
    <t xml:space="preserve">         f. Post and Courier Services</t>
  </si>
  <si>
    <t>Urban share</t>
  </si>
  <si>
    <t>Urban access (proj.)</t>
  </si>
  <si>
    <t>Rural access (proj.)</t>
  </si>
  <si>
    <t>National access (proj.)</t>
  </si>
  <si>
    <t>Caveats: The key judgment is the assumption Nigeria eventually undergoes the same transition its peers completed, which its stagnant 1995-2024 history alone would not predict. Survivorship applies: the analogue set contains only successful transitions. The rural path implies connection rates ~2-4 pp/yr through the 2030s-40s, far above Nigeria's historical pace. The 2003 national observation (52.2%) remains a retained survey outlier.</t>
  </si>
  <si>
    <t>4.   Information and Communication</t>
  </si>
  <si>
    <t xml:space="preserve">         a. Telecommunications and Information Services</t>
  </si>
  <si>
    <t xml:space="preserve">         b.  Publishing,  </t>
  </si>
  <si>
    <t xml:space="preserve">         c. Motion Pictures, Sound recording &amp; Music production   </t>
  </si>
  <si>
    <t xml:space="preserve">         d. Broadcasting</t>
  </si>
  <si>
    <t>HISTORICAL-ANALOGUE (LEADER-FOLLOWER) DIFFUSION MODEL projection</t>
  </si>
  <si>
    <t>5.   Arts, Entertainment &amp; Recreation</t>
  </si>
  <si>
    <t>Completed transition episode</t>
  </si>
  <si>
    <t>From (%)</t>
  </si>
  <si>
    <t>To (%)</t>
  </si>
  <si>
    <t>Implied pace k (logit/yr)</t>
  </si>
  <si>
    <t>6.   Financial and Insurance</t>
  </si>
  <si>
    <t>URBAN: Kenya urban</t>
  </si>
  <si>
    <t xml:space="preserve">         a. Financial Institutions</t>
  </si>
  <si>
    <t>URBAN: India urban</t>
  </si>
  <si>
    <t xml:space="preserve">         b. Insurance</t>
  </si>
  <si>
    <t>URBAN: Indonesia urban</t>
  </si>
  <si>
    <t>RURAL: Vietnam households</t>
  </si>
  <si>
    <t>RURAL: Morocco rural (PERG)</t>
  </si>
  <si>
    <t xml:space="preserve">7.   Real Estate </t>
  </si>
  <si>
    <t>RURAL: India rural</t>
  </si>
  <si>
    <t xml:space="preserve">8.   Professional, Scientific &amp; Technical Serv.       </t>
  </si>
  <si>
    <t>Nigeria urban pace (slowest completed urban analogue)</t>
  </si>
  <si>
    <t xml:space="preserve">9.   Administrative and Support Services </t>
  </si>
  <si>
    <t>Nigeria rural pace (slowest completed rural analogue)</t>
  </si>
  <si>
    <t>10. Public Administration</t>
  </si>
  <si>
    <t>Effective-universality threshold (WDI rounding convention)</t>
  </si>
  <si>
    <t>11. Education</t>
  </si>
  <si>
    <t>Urban logit at 2024 actual</t>
  </si>
  <si>
    <t>Rural logit at 2024 actual</t>
  </si>
  <si>
    <t xml:space="preserve">12. Human Health &amp; Social Services          </t>
  </si>
  <si>
    <t>13. Other Services</t>
  </si>
  <si>
    <t>EMERGENT urban completion year</t>
  </si>
  <si>
    <t>GDP at 2010 Constant Basic Prices</t>
  </si>
  <si>
    <t>EMERGENT rural completion year</t>
  </si>
  <si>
    <t>Method: leader-follower (historical analogue) diffusion. Access follows a logistic in time anchored at Nigeria's observed 2024 level; the pace parameter k is not fitted to Nigeria's stagnant history and not set to any target - it is transplanted from the measured pace of countries that actually completed the same transition from comparable starting levels (table above). The SLOWEST completed analogue is used for each segment: a conservative choice motivated by Nigeria's measured cross-country underperformance (country effect -1.13 logit, 'Urban Panel' sheet). Completion years are then EMERGENT quantities, not inputs: with these paces the model reaches effective universality (99.5%, reported as 100% per the WDI convention of treating such levels as universal) in 2044 for urban and 2054 for rural. Sensitivity: using median instead of slowest analogue paces brings completion forward ~5-8 years; raising the threshold to 99.9% pushes urban to ~2052 and rural to ~2061. Survivorship caveat: analogues are, by construction, countries that succeeded; the econometric reference paths below show the no-acceleration counterfactual.</t>
  </si>
  <si>
    <t>Net Taxes on Products</t>
  </si>
  <si>
    <t>REFERENCE (ECONOMETRIC) vs ANALOGUE-BASED PATHS</t>
  </si>
  <si>
    <t>Urban ref.</t>
  </si>
  <si>
    <t>Urban headline</t>
  </si>
  <si>
    <t>Rural ref.</t>
  </si>
  <si>
    <t>Rural headline</t>
  </si>
  <si>
    <t>GDP at 2010 Constant Market Prices</t>
  </si>
  <si>
    <t>Source: National Bureau of Statistics</t>
  </si>
  <si>
    <t>Note         1Provisional</t>
  </si>
  <si>
    <t>Urban</t>
  </si>
  <si>
    <t>Rural</t>
  </si>
  <si>
    <t>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</si>
</sst>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\ ###\ ###\ ##0;\-#\ ###\ ###\ ##0;0"/>
    <numFmt numFmtId="165" formatCode="#,##0.0"/>
    <numFmt numFmtId="166" formatCode="0.000"/>
    <numFmt numFmtId="167" formatCode="0.0000"/>
    <numFmt numFmtId="168" formatCode="0.0%"/>
    <numFmt numFmtId="169" formatCode="0.0"/>
    <numFmt numFmtId="170" formatCode="0.000000"/>
    <numFmt numFmtId="171" formatCode="_-* #,##0.00_-;\-* #,##0.00_-;_-* \-??_-;_-@"/>
  </numFmts>
  <fonts count="27">
    <font>
      <sz val="11.0"/>
      <color theme="1"/>
      <name val="Aptos Narrow"/>
      <scheme val="minor"/>
    </font>
    <font>
      <b/>
      <sz val="14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b/>
      <u/>
      <sz val="20.0"/>
      <color rgb="FF0E2841"/>
      <name val="Play"/>
    </font>
    <font/>
    <font>
      <sz val="11.0"/>
      <color theme="1"/>
      <name val="Play"/>
    </font>
    <font>
      <b/>
      <sz val="11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sz val="14.0"/>
      <color rgb="FF0A1E30"/>
      <name val="Play"/>
    </font>
    <font>
      <color theme="1"/>
      <name val="Aptos Narrow"/>
      <scheme val="minor"/>
    </font>
    <font>
      <sz val="11.0"/>
      <color rgb="FF000000"/>
      <name val="Calibri"/>
    </font>
    <font>
      <sz val="11.0"/>
      <color theme="1"/>
      <name val="Aptos Narrow"/>
    </font>
    <font>
      <sz val="14.0"/>
      <color rgb="FF0A1E30"/>
      <name val="Play"/>
    </font>
    <font>
      <sz val="14.0"/>
      <color theme="1"/>
      <name val="Play"/>
    </font>
    <font>
      <b/>
      <sz val="12.0"/>
      <color theme="1"/>
      <name val="Play"/>
    </font>
    <font>
      <b/>
      <sz val="11.0"/>
      <color theme="1"/>
      <name val="Play"/>
    </font>
    <font>
      <sz val="9.0"/>
      <color rgb="FFFF0000"/>
      <name val="Arial"/>
    </font>
    <font>
      <i/>
      <sz val="9.0"/>
      <color theme="1"/>
      <name val="Arial"/>
    </font>
    <font>
      <sz val="10.0"/>
      <color rgb="FF0A3041"/>
      <name val="Play"/>
    </font>
    <font>
      <sz val="10.0"/>
      <color rgb="FF0A1E30"/>
      <name val="Play"/>
    </font>
    <font>
      <sz val="10.0"/>
      <color theme="1"/>
      <name val="Play"/>
    </font>
    <font>
      <i/>
      <sz val="9.0"/>
      <color rgb="FF59595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CFFCC"/>
        <bgColor rgb="FFCCFFCC"/>
      </patternFill>
    </fill>
    <fill>
      <patternFill patternType="solid">
        <fgColor rgb="FFD9E2F3"/>
        <bgColor rgb="FFD9E2F3"/>
      </patternFill>
    </fill>
  </fills>
  <borders count="25">
    <border/>
    <border>
      <left/>
      <top/>
    </border>
    <border>
      <left/>
      <right/>
      <top/>
      <bottom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3" fontId="7" numFmtId="0" xfId="0" applyBorder="1" applyFill="1" applyFont="1"/>
    <xf borderId="3" fillId="0" fontId="8" numFmtId="0" xfId="0" applyBorder="1" applyFont="1"/>
    <xf borderId="0" fillId="0" fontId="9" numFmtId="4" xfId="0" applyFont="1" applyNumberForma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7" fillId="0" fontId="8" numFmtId="0" xfId="0" applyBorder="1" applyFont="1"/>
    <xf borderId="8" fillId="0" fontId="8" numFmtId="0" xfId="0" applyBorder="1" applyFont="1"/>
    <xf borderId="0" fillId="0" fontId="6" numFmtId="0" xfId="0" applyFont="1"/>
    <xf borderId="9" fillId="0" fontId="8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right"/>
    </xf>
    <xf borderId="0" fillId="0" fontId="10" numFmtId="0" xfId="0" applyFont="1"/>
    <xf borderId="0" fillId="0" fontId="12" numFmtId="0" xfId="0" applyFont="1"/>
    <xf borderId="0" fillId="0" fontId="12" numFmtId="2" xfId="0" applyFont="1" applyNumberFormat="1"/>
    <xf borderId="0" fillId="0" fontId="12" numFmtId="4" xfId="0" applyFont="1" applyNumberFormat="1"/>
    <xf borderId="10" fillId="0" fontId="13" numFmtId="0" xfId="0" applyBorder="1" applyFont="1"/>
    <xf borderId="0" fillId="0" fontId="13" numFmtId="0" xfId="0" applyFont="1"/>
    <xf borderId="0" fillId="0" fontId="14" numFmtId="0" xfId="0" applyFont="1"/>
    <xf borderId="0" fillId="0" fontId="15" numFmtId="165" xfId="0" applyFont="1" applyNumberFormat="1"/>
    <xf borderId="0" fillId="0" fontId="16" numFmtId="166" xfId="0" applyFont="1" applyNumberFormat="1"/>
    <xf borderId="0" fillId="0" fontId="13" numFmtId="0" xfId="0" applyAlignment="1" applyFont="1">
      <alignment horizontal="center"/>
    </xf>
    <xf borderId="0" fillId="0" fontId="16" numFmtId="2" xfId="0" applyFont="1" applyNumberFormat="1"/>
    <xf borderId="0" fillId="0" fontId="17" numFmtId="0" xfId="0" applyFont="1"/>
    <xf borderId="0" fillId="0" fontId="18" numFmtId="165" xfId="0" applyFont="1" applyNumberFormat="1"/>
    <xf borderId="0" fillId="0" fontId="16" numFmtId="167" xfId="0" applyFont="1" applyNumberFormat="1"/>
    <xf borderId="11" fillId="4" fontId="19" numFmtId="0" xfId="0" applyAlignment="1" applyBorder="1" applyFill="1" applyFont="1">
      <alignment horizontal="left" vertical="center"/>
    </xf>
    <xf borderId="12" fillId="4" fontId="19" numFmtId="0" xfId="0" applyAlignment="1" applyBorder="1" applyFill="1" applyFont="1">
      <alignment horizontal="right" vertical="center"/>
    </xf>
    <xf borderId="13" fillId="4" fontId="19" numFmtId="0" xfId="0" applyAlignment="1" applyBorder="1" applyFill="1" applyFont="1">
      <alignment horizontal="right" vertical="center"/>
    </xf>
    <xf borderId="0" fillId="0" fontId="12" numFmtId="167" xfId="0" applyFont="1" applyNumberFormat="1"/>
    <xf borderId="14" fillId="4" fontId="19" numFmtId="0" xfId="0" applyAlignment="1" applyBorder="1" applyFill="1" applyFont="1">
      <alignment horizontal="right" vertical="center"/>
    </xf>
    <xf borderId="13" fillId="4" fontId="19" numFmtId="0" xfId="0" applyAlignment="1" applyBorder="1" applyFill="1" applyFont="1">
      <alignment horizontal="center" vertical="center"/>
    </xf>
    <xf borderId="15" fillId="4" fontId="20" numFmtId="0" xfId="0" applyAlignment="1" applyBorder="1" applyFill="1" applyFont="1">
      <alignment horizontal="left"/>
    </xf>
    <xf borderId="16" fillId="0" fontId="20" numFmtId="4" xfId="0" applyBorder="1" applyFont="1" applyNumberFormat="1"/>
    <xf borderId="0" fillId="0" fontId="20" numFmtId="4" xfId="0" applyFont="1" applyNumberFormat="1"/>
    <xf borderId="17" fillId="0" fontId="20" numFmtId="4" xfId="0" applyBorder="1" applyFont="1" applyNumberFormat="1"/>
    <xf borderId="18" fillId="4" fontId="9" numFmtId="0" xfId="0" applyAlignment="1" applyBorder="1" applyFill="1" applyFont="1">
      <alignment horizontal="left"/>
    </xf>
    <xf borderId="16" fillId="0" fontId="9" numFmtId="4" xfId="0" applyBorder="1" applyFont="1" applyNumberFormat="1"/>
    <xf borderId="0" fillId="0" fontId="12" numFmtId="1" xfId="0" applyFont="1" applyNumberFormat="1"/>
    <xf borderId="17" fillId="0" fontId="9" numFmtId="4" xfId="0" applyBorder="1" applyFont="1" applyNumberFormat="1"/>
    <xf borderId="0" fillId="0" fontId="12" numFmtId="168" xfId="0" applyFont="1" applyNumberFormat="1"/>
    <xf borderId="0" fillId="0" fontId="16" numFmtId="1" xfId="0" applyFont="1" applyNumberFormat="1"/>
    <xf borderId="0" fillId="0" fontId="16" numFmtId="165" xfId="0" applyFont="1" applyNumberFormat="1"/>
    <xf borderId="18" fillId="4" fontId="20" numFmtId="0" xfId="0" applyAlignment="1" applyBorder="1" applyFill="1" applyFont="1">
      <alignment horizontal="left"/>
    </xf>
    <xf borderId="0" fillId="0" fontId="16" numFmtId="168" xfId="0" applyFont="1" applyNumberFormat="1"/>
    <xf borderId="2" fillId="2" fontId="12" numFmtId="167" xfId="0" applyBorder="1" applyFill="1" applyFont="1" applyNumberFormat="1"/>
    <xf borderId="0" fillId="0" fontId="10" numFmtId="0" xfId="0" applyAlignment="1" applyFont="1">
      <alignment shrinkToFit="0" vertical="center" wrapText="1"/>
    </xf>
    <xf borderId="0" fillId="0" fontId="12" numFmtId="169" xfId="0" applyFont="1" applyNumberFormat="1"/>
    <xf borderId="2" fillId="2" fontId="11" numFmtId="0" xfId="0" applyAlignment="1" applyBorder="1" applyFill="1" applyFont="1">
      <alignment horizontal="center"/>
    </xf>
    <xf borderId="2" fillId="2" fontId="11" numFmtId="164" xfId="0" applyAlignment="1" applyBorder="1" applyFill="1" applyFont="1" applyNumberFormat="1">
      <alignment horizontal="right"/>
    </xf>
    <xf borderId="2" fillId="2" fontId="16" numFmtId="0" xfId="0" applyBorder="1" applyFill="1" applyFont="1"/>
    <xf borderId="2" fillId="2" fontId="15" numFmtId="165" xfId="0" applyBorder="1" applyFill="1" applyFont="1" applyNumberFormat="1"/>
    <xf borderId="2" fillId="2" fontId="16" numFmtId="1" xfId="0" applyBorder="1" applyFill="1" applyFont="1" applyNumberFormat="1"/>
    <xf borderId="2" fillId="2" fontId="16" numFmtId="2" xfId="0" applyBorder="1" applyFill="1" applyFont="1" applyNumberFormat="1"/>
    <xf borderId="0" fillId="0" fontId="16" numFmtId="169" xfId="0" applyFont="1" applyNumberFormat="1"/>
    <xf borderId="1" fillId="2" fontId="11" numFmtId="0" xfId="0" applyAlignment="1" applyBorder="1" applyFill="1" applyFont="1">
      <alignment shrinkToFit="0" vertical="top" wrapText="1"/>
    </xf>
    <xf borderId="2" fillId="2" fontId="12" numFmtId="169" xfId="0" applyBorder="1" applyFill="1" applyFont="1" applyNumberFormat="1"/>
    <xf borderId="0" fillId="0" fontId="16" numFmtId="170" xfId="0" applyFont="1" applyNumberFormat="1"/>
    <xf borderId="0" fillId="0" fontId="3" numFmtId="0" xfId="0" applyFont="1"/>
    <xf borderId="2" fillId="2" fontId="3" numFmtId="2" xfId="0" applyBorder="1" applyFill="1" applyFont="1" applyNumberFormat="1"/>
    <xf borderId="0" fillId="0" fontId="16" numFmtId="0" xfId="0" applyFont="1"/>
    <xf borderId="0" fillId="0" fontId="21" numFmtId="0" xfId="0" applyAlignment="1" applyFont="1">
      <alignment shrinkToFit="0" vertical="top" wrapText="1"/>
    </xf>
    <xf borderId="0" fillId="0" fontId="12" numFmtId="166" xfId="0" applyFont="1" applyNumberFormat="1"/>
    <xf borderId="0" fillId="0" fontId="3" numFmtId="0" xfId="0" applyAlignment="1" applyFont="1">
      <alignment horizontal="center"/>
    </xf>
    <xf borderId="2" fillId="5" fontId="10" numFmtId="0" xfId="0" applyBorder="1" applyFill="1" applyFont="1"/>
    <xf borderId="0" fillId="0" fontId="5" numFmtId="0" xfId="0" applyAlignment="1" applyFont="1">
      <alignment shrinkToFit="0" vertical="top" wrapText="1"/>
    </xf>
    <xf borderId="0" fillId="0" fontId="16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top" wrapText="1"/>
    </xf>
    <xf borderId="2" fillId="2" fontId="10" numFmtId="1" xfId="0" applyAlignment="1" applyBorder="1" applyFill="1" applyFont="1" applyNumberForma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22" numFmtId="0" xfId="0" applyFont="1"/>
    <xf borderId="2" fillId="2" fontId="12" numFmtId="168" xfId="0" applyBorder="1" applyFill="1" applyFont="1" applyNumberFormat="1"/>
    <xf borderId="0" fillId="0" fontId="12" numFmtId="0" xfId="0" applyAlignment="1" applyFont="1">
      <alignment shrinkToFit="0" vertical="top" wrapText="1"/>
    </xf>
    <xf borderId="2" fillId="2" fontId="12" numFmtId="1" xfId="0" applyBorder="1" applyFill="1" applyFont="1" applyNumberFormat="1"/>
    <xf borderId="11" fillId="4" fontId="20" numFmtId="0" xfId="0" applyAlignment="1" applyBorder="1" applyFill="1" applyFont="1">
      <alignment horizontal="left"/>
    </xf>
    <xf borderId="19" fillId="0" fontId="20" numFmtId="4" xfId="0" applyBorder="1" applyFont="1" applyNumberFormat="1"/>
    <xf borderId="20" fillId="0" fontId="20" numFmtId="4" xfId="0" applyBorder="1" applyFont="1" applyNumberFormat="1"/>
    <xf borderId="21" fillId="0" fontId="20" numFmtId="4" xfId="0" applyBorder="1" applyFont="1" applyNumberFormat="1"/>
    <xf borderId="22" fillId="4" fontId="20" numFmtId="0" xfId="0" applyAlignment="1" applyBorder="1" applyFill="1" applyFont="1">
      <alignment horizontal="left"/>
    </xf>
    <xf borderId="0" fillId="0" fontId="20" numFmtId="4" xfId="0" applyAlignment="1" applyFont="1" applyNumberFormat="1">
      <alignment horizontal="right"/>
    </xf>
    <xf borderId="17" fillId="0" fontId="20" numFmtId="4" xfId="0" applyAlignment="1" applyBorder="1" applyFont="1" applyNumberFormat="1">
      <alignment horizontal="right"/>
    </xf>
    <xf borderId="23" fillId="0" fontId="20" numFmtId="4" xfId="0" applyAlignment="1" applyBorder="1" applyFont="1" applyNumberFormat="1">
      <alignment horizontal="right"/>
    </xf>
    <xf borderId="24" fillId="4" fontId="20" numFmtId="0" xfId="0" applyAlignment="1" applyBorder="1" applyFill="1" applyFont="1">
      <alignment horizontal="left"/>
    </xf>
    <xf borderId="20" fillId="0" fontId="20" numFmtId="171" xfId="0" applyAlignment="1" applyBorder="1" applyFont="1" applyNumberFormat="1">
      <alignment horizontal="right"/>
    </xf>
    <xf borderId="21" fillId="0" fontId="20" numFmtId="171" xfId="0" applyAlignment="1" applyBorder="1" applyFont="1" applyNumberFormat="1">
      <alignment horizontal="right"/>
    </xf>
    <xf borderId="0" fillId="0" fontId="10" numFmtId="1" xfId="0" applyFont="1" applyNumberFormat="1"/>
    <xf borderId="0" fillId="0" fontId="10" numFmtId="169" xfId="0" applyFont="1" applyNumberFormat="1"/>
    <xf borderId="20" fillId="0" fontId="20" numFmtId="4" xfId="0" applyAlignment="1" applyBorder="1" applyFont="1" applyNumberFormat="1">
      <alignment horizontal="right"/>
    </xf>
    <xf borderId="21" fillId="0" fontId="20" numFmtId="4" xfId="0" applyAlignment="1" applyBorder="1" applyFont="1" applyNumberFormat="1">
      <alignment horizontal="right"/>
    </xf>
    <xf borderId="0" fillId="0" fontId="23" numFmtId="0" xfId="0" applyFont="1"/>
    <xf borderId="0" fillId="0" fontId="24" numFmtId="0" xfId="0" applyAlignment="1" applyFont="1">
      <alignment horizontal="left"/>
    </xf>
    <xf borderId="0" fillId="0" fontId="25" numFmtId="0" xfId="0" applyFont="1"/>
    <xf borderId="0" fillId="0" fontId="9" numFmtId="0" xfId="0" applyFont="1"/>
    <xf borderId="0" fillId="0" fontId="2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ptos Narrow"/>
              </a:defRPr>
            </a:pPr>
            <a:r>
              <a:rPr b="1" i="0" sz="1200">
                <a:solidFill>
                  <a:srgbClr val="000000"/>
                </a:solidFill>
                <a:latin typeface="Aptos Narrow"/>
              </a:rPr>
              <a:t>Electricity access: historical (1995-2024) + driver-based projection (2025-2060)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Urban</c:v>
          </c:tx>
          <c:spPr>
            <a:ln cmpd="sng" w="38100">
              <a:solidFill>
                <a:srgbClr val="15608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'Access Projection Model'!$B$90:$B$155</c:f>
            </c:strRef>
          </c:cat>
          <c:val>
            <c:numRef>
              <c:f>'Access Projection Model'!$C$90:$C$155</c:f>
              <c:numCache/>
            </c:numRef>
          </c:val>
          <c:smooth val="1"/>
        </c:ser>
        <c:ser>
          <c:idx val="1"/>
          <c:order val="1"/>
          <c:tx>
            <c:v>Rural</c:v>
          </c:tx>
          <c:spPr>
            <a:ln cmpd="sng" w="38100">
              <a:solidFill>
                <a:srgbClr val="E971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'Access Projection Model'!$B$90:$B$155</c:f>
            </c:strRef>
          </c:cat>
          <c:val>
            <c:numRef>
              <c:f>'Access Projection Model'!$D$90:$D$155</c:f>
              <c:numCache/>
            </c:numRef>
          </c:val>
          <c:smooth val="1"/>
        </c:ser>
        <c:ser>
          <c:idx val="2"/>
          <c:order val="2"/>
          <c:tx>
            <c:v>National</c:v>
          </c:tx>
          <c:spPr>
            <a:ln cmpd="sng" w="38100">
              <a:solidFill>
                <a:srgbClr val="196B2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'Access Projection Model'!$B$90:$B$155</c:f>
            </c:strRef>
          </c:cat>
          <c:val>
            <c:numRef>
              <c:f>'Access Projection Model'!$E$90:$E$155</c:f>
              <c:numCache/>
            </c:numRef>
          </c:val>
          <c:smooth val="1"/>
        </c:ser>
        <c:axId val="1993277195"/>
        <c:axId val="980055956"/>
      </c:lineChart>
      <c:catAx>
        <c:axId val="1993277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ptos Narrow"/>
              </a:defRPr>
            </a:pPr>
          </a:p>
        </c:txPr>
        <c:crossAx val="980055956"/>
      </c:catAx>
      <c:valAx>
        <c:axId val="980055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ptos Narrow"/>
              </a:defRPr>
            </a:pPr>
          </a:p>
        </c:txPr>
        <c:crossAx val="199327719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ptos Narrow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53</xdr:row>
      <xdr:rowOff>180975</xdr:rowOff>
    </xdr:from>
    <xdr:ext cx="6886575" cy="3600450"/>
    <xdr:graphicFrame>
      <xdr:nvGraphicFramePr>
        <xdr:cNvPr id="76536195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0"/>
    <col customWidth="1" min="4" max="4" width="8.63"/>
    <col customWidth="1" min="5" max="5" width="11.75"/>
    <col customWidth="1" min="6" max="6" width="14.38"/>
    <col customWidth="1" min="7" max="9" width="11.88"/>
    <col customWidth="1" min="10" max="10" width="11.25"/>
    <col customWidth="1" min="11" max="13" width="12.63"/>
    <col customWidth="1" min="14" max="15" width="15.75"/>
    <col customWidth="1" min="16" max="16" width="12.63"/>
    <col customWidth="1" min="17" max="17" width="16.13"/>
    <col customWidth="1" min="18" max="18" width="8.63"/>
    <col customWidth="1" min="19" max="19" width="12.75"/>
    <col customWidth="1" min="20" max="20" width="8.63"/>
    <col customWidth="1" min="21" max="22" width="18.88"/>
    <col customWidth="1" min="23" max="26" width="8.63"/>
  </cols>
  <sheetData>
    <row r="1" ht="15.0" customHeight="1">
      <c r="A1" s="2" t="s">
        <v>0</v>
      </c>
    </row>
    <row r="2" ht="15.0" customHeight="1">
      <c r="A2" s="2"/>
    </row>
    <row r="3" ht="120.0" customHeight="1">
      <c r="A3" s="3" t="s">
        <v>4</v>
      </c>
      <c r="B3" s="4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13" t="s">
        <v>14</v>
      </c>
      <c r="L3" s="6" t="s">
        <v>15</v>
      </c>
      <c r="M3" s="6" t="s">
        <v>16</v>
      </c>
      <c r="N3" s="13" t="s">
        <v>17</v>
      </c>
      <c r="O3" s="6" t="s">
        <v>18</v>
      </c>
      <c r="P3" s="6" t="s">
        <v>19</v>
      </c>
      <c r="Q3" s="6" t="s">
        <v>20</v>
      </c>
      <c r="R3" s="16"/>
      <c r="S3" s="6" t="s">
        <v>21</v>
      </c>
      <c r="T3" s="16"/>
      <c r="U3" s="6" t="s">
        <v>22</v>
      </c>
      <c r="V3" s="6" t="s">
        <v>23</v>
      </c>
      <c r="W3" s="6" t="s">
        <v>24</v>
      </c>
      <c r="X3" s="6" t="s">
        <v>26</v>
      </c>
      <c r="Y3" s="6" t="s">
        <v>27</v>
      </c>
      <c r="Z3" s="6" t="s">
        <v>28</v>
      </c>
    </row>
    <row r="4" ht="15.0" customHeight="1">
      <c r="A4" s="19">
        <v>1995.0</v>
      </c>
      <c r="B4" s="20">
        <v>109367.384</v>
      </c>
      <c r="C4" s="27">
        <f t="shared" ref="C4:C69" si="1">B4*1000</f>
        <v>109367384</v>
      </c>
      <c r="D4" s="28">
        <v>39.1364103583649</v>
      </c>
      <c r="E4" s="28">
        <f t="shared" ref="E4:E69" si="2">C4-F4</f>
        <v>66564915.8</v>
      </c>
      <c r="F4" s="28">
        <f t="shared" ref="F4:F69" si="3">(D4*C4)/100</f>
        <v>42802468.2</v>
      </c>
      <c r="N4" s="31">
        <v>1.54601400724996E11</v>
      </c>
      <c r="O4" s="31"/>
      <c r="P4" s="27">
        <f t="shared" ref="P4:P69" si="4">N4/C4</f>
        <v>1413.596952</v>
      </c>
      <c r="Q4" s="9">
        <v>21660.4870728758</v>
      </c>
      <c r="S4" s="27">
        <f t="shared" ref="S4:S69" si="5">(Q4*10^9)/(C4)</f>
        <v>198052.5297</v>
      </c>
      <c r="U4" s="31">
        <v>5.31657482621434E11</v>
      </c>
      <c r="V4" s="31"/>
      <c r="W4" s="27">
        <f t="shared" ref="W4:W69" si="6">U4/C4</f>
        <v>4861.206908</v>
      </c>
      <c r="X4" s="27">
        <v>38.6872520446777</v>
      </c>
      <c r="Y4" s="27">
        <v>17.1597683755411</v>
      </c>
      <c r="Z4" s="27">
        <v>84.0049285888672</v>
      </c>
    </row>
    <row r="5" ht="15.0" customHeight="1">
      <c r="A5" s="19">
        <v>1996.0</v>
      </c>
      <c r="B5" s="20">
        <v>112271.472</v>
      </c>
      <c r="C5" s="27">
        <f t="shared" si="1"/>
        <v>112271472</v>
      </c>
      <c r="D5" s="28">
        <v>39.9503563748504</v>
      </c>
      <c r="E5" s="28">
        <f t="shared" si="2"/>
        <v>67418618.83</v>
      </c>
      <c r="F5" s="28">
        <f t="shared" si="3"/>
        <v>44852853.17</v>
      </c>
      <c r="N5" s="31">
        <v>1.610883580745E11</v>
      </c>
      <c r="O5" s="31">
        <f t="shared" ref="O5:O34" si="7">(N5-N4)/N4</f>
        <v>0.04195924047</v>
      </c>
      <c r="P5" s="27">
        <f t="shared" si="4"/>
        <v>1434.811134</v>
      </c>
      <c r="Q5" s="9">
        <v>22568.866725941</v>
      </c>
      <c r="R5" s="31">
        <f t="shared" ref="R5:R33" si="8">(Q5-Q4)/Q4</f>
        <v>0.04193717574</v>
      </c>
      <c r="S5" s="27">
        <f t="shared" si="5"/>
        <v>201020.4937</v>
      </c>
      <c r="U5" s="31">
        <v>5.53965426780652E11</v>
      </c>
      <c r="V5" s="31">
        <f t="shared" ref="V5:V34" si="9">(U5-U4)/U4</f>
        <v>0.04195924047</v>
      </c>
      <c r="W5" s="27">
        <f t="shared" si="6"/>
        <v>4934.160183</v>
      </c>
      <c r="X5" s="27">
        <v>39.5453186035156</v>
      </c>
      <c r="Y5" s="27">
        <v>17.9032057830542</v>
      </c>
      <c r="Z5" s="27">
        <v>84.0364761352539</v>
      </c>
    </row>
    <row r="6" ht="15.0" customHeight="1">
      <c r="A6" s="19">
        <v>1997.0</v>
      </c>
      <c r="B6" s="20">
        <v>115238.085</v>
      </c>
      <c r="C6" s="27">
        <f t="shared" si="1"/>
        <v>115238085</v>
      </c>
      <c r="D6" s="28">
        <v>40.7720171281134</v>
      </c>
      <c r="E6" s="28">
        <f t="shared" si="2"/>
        <v>68253193.25</v>
      </c>
      <c r="F6" s="28">
        <f t="shared" si="3"/>
        <v>46984891.75</v>
      </c>
      <c r="N6" s="31">
        <v>1.65819683303955E11</v>
      </c>
      <c r="O6" s="31">
        <f t="shared" si="7"/>
        <v>0.02937099419</v>
      </c>
      <c r="P6" s="27">
        <f t="shared" si="4"/>
        <v>1438.931264</v>
      </c>
      <c r="Q6" s="9">
        <v>23231.123125557</v>
      </c>
      <c r="R6" s="31">
        <f t="shared" si="8"/>
        <v>0.02934380391</v>
      </c>
      <c r="S6" s="27">
        <f t="shared" si="5"/>
        <v>201592.4087</v>
      </c>
      <c r="U6" s="31">
        <v>5.70235942113367E11</v>
      </c>
      <c r="V6" s="31">
        <f t="shared" si="9"/>
        <v>0.02937099419</v>
      </c>
      <c r="W6" s="27">
        <f t="shared" si="6"/>
        <v>4948.328863</v>
      </c>
      <c r="X6" s="27">
        <v>40.3999824523926</v>
      </c>
      <c r="Y6" s="27">
        <v>18.6585470745314</v>
      </c>
      <c r="Z6" s="27">
        <v>84.0522232055664</v>
      </c>
    </row>
    <row r="7" ht="15.0" customHeight="1">
      <c r="A7" s="19">
        <v>1998.0</v>
      </c>
      <c r="B7" s="20">
        <v>118271.498</v>
      </c>
      <c r="C7" s="27">
        <f t="shared" si="1"/>
        <v>118271498</v>
      </c>
      <c r="D7" s="28">
        <v>41.6009143497997</v>
      </c>
      <c r="E7" s="28">
        <f t="shared" si="2"/>
        <v>69069473.42</v>
      </c>
      <c r="F7" s="28">
        <f t="shared" si="3"/>
        <v>49202024.58</v>
      </c>
      <c r="N7" s="31">
        <v>1.70099910681009E11</v>
      </c>
      <c r="O7" s="31">
        <f t="shared" si="7"/>
        <v>0.02581254102</v>
      </c>
      <c r="P7" s="27">
        <f t="shared" si="4"/>
        <v>1438.215577</v>
      </c>
      <c r="Q7" s="9">
        <v>23829.7584260223</v>
      </c>
      <c r="R7" s="31">
        <f t="shared" si="8"/>
        <v>0.02576867667</v>
      </c>
      <c r="S7" s="27">
        <f t="shared" si="5"/>
        <v>201483.5259</v>
      </c>
      <c r="U7" s="31">
        <v>5.84955180759722E11</v>
      </c>
      <c r="V7" s="31">
        <f t="shared" si="9"/>
        <v>0.02581254102</v>
      </c>
      <c r="W7" s="27">
        <f t="shared" si="6"/>
        <v>4945.867691</v>
      </c>
      <c r="X7" s="27">
        <v>41.2505683898926</v>
      </c>
      <c r="Y7" s="27">
        <v>19.4251489051188</v>
      </c>
      <c r="Z7" s="27">
        <v>84.0490188598633</v>
      </c>
    </row>
    <row r="8" ht="15.0" customHeight="1">
      <c r="A8" s="19">
        <v>1999.0</v>
      </c>
      <c r="B8" s="20">
        <v>121421.011</v>
      </c>
      <c r="C8" s="27">
        <f t="shared" si="1"/>
        <v>121421011</v>
      </c>
      <c r="D8" s="28">
        <v>42.4365697715547</v>
      </c>
      <c r="E8" s="28">
        <f t="shared" si="2"/>
        <v>69894098.95</v>
      </c>
      <c r="F8" s="28">
        <f t="shared" si="3"/>
        <v>51526912.05</v>
      </c>
      <c r="N8" s="31">
        <v>1.71093510004065E11</v>
      </c>
      <c r="O8" s="31">
        <f t="shared" si="7"/>
        <v>0.005841268929</v>
      </c>
      <c r="P8" s="27">
        <f t="shared" si="4"/>
        <v>1409.09311</v>
      </c>
      <c r="Q8" s="9">
        <v>23967.5914196227</v>
      </c>
      <c r="R8" s="31">
        <f t="shared" si="8"/>
        <v>0.005784070117</v>
      </c>
      <c r="S8" s="27">
        <f t="shared" si="5"/>
        <v>197392.4548</v>
      </c>
      <c r="U8" s="31">
        <v>5.88372061281847E11</v>
      </c>
      <c r="V8" s="31">
        <f t="shared" si="9"/>
        <v>0.005841268929</v>
      </c>
      <c r="W8" s="27">
        <f t="shared" si="6"/>
        <v>4845.718681</v>
      </c>
      <c r="X8" s="27">
        <v>44.9</v>
      </c>
      <c r="Y8" s="27">
        <v>24.3267900721401</v>
      </c>
      <c r="Z8" s="27">
        <v>84.3</v>
      </c>
    </row>
    <row r="9" ht="15.0" customHeight="1">
      <c r="A9" s="19">
        <v>2000.0</v>
      </c>
      <c r="B9" s="20">
        <v>124673.629</v>
      </c>
      <c r="C9" s="27">
        <f t="shared" si="1"/>
        <v>124673629</v>
      </c>
      <c r="D9" s="28">
        <v>43.2785051250243</v>
      </c>
      <c r="E9" s="28">
        <f t="shared" si="2"/>
        <v>70716746.08</v>
      </c>
      <c r="F9" s="28">
        <f t="shared" si="3"/>
        <v>53956882.92</v>
      </c>
      <c r="N9" s="31">
        <v>1.79675448843378E11</v>
      </c>
      <c r="O9" s="31">
        <f t="shared" si="7"/>
        <v>0.05015934759</v>
      </c>
      <c r="P9" s="27">
        <f t="shared" si="4"/>
        <v>1441.16643</v>
      </c>
      <c r="Q9" s="9">
        <v>25169.5387902689</v>
      </c>
      <c r="R9" s="31">
        <f t="shared" si="8"/>
        <v>0.05014885933</v>
      </c>
      <c r="S9" s="27">
        <f t="shared" si="5"/>
        <v>201883.4215</v>
      </c>
      <c r="U9" s="31">
        <v>6.17884420018078E11</v>
      </c>
      <c r="V9" s="31">
        <f t="shared" si="9"/>
        <v>0.05015934759</v>
      </c>
      <c r="W9" s="27">
        <f t="shared" si="6"/>
        <v>4956.015358</v>
      </c>
      <c r="X9" s="27">
        <v>43.2</v>
      </c>
      <c r="Y9" s="27">
        <v>21.5</v>
      </c>
      <c r="Z9" s="27">
        <v>83.8</v>
      </c>
    </row>
    <row r="10" ht="15.0" customHeight="1">
      <c r="A10" s="19">
        <v>2001.0</v>
      </c>
      <c r="B10" s="20">
        <v>128091.359</v>
      </c>
      <c r="C10" s="27">
        <f t="shared" si="1"/>
        <v>128091359</v>
      </c>
      <c r="D10" s="28">
        <v>44.1262421418539</v>
      </c>
      <c r="E10" s="28">
        <f t="shared" si="2"/>
        <v>71569455.76</v>
      </c>
      <c r="F10" s="28">
        <f t="shared" si="3"/>
        <v>56521903.24</v>
      </c>
      <c r="N10" s="31">
        <v>1.90308075298043E11</v>
      </c>
      <c r="O10" s="31">
        <f t="shared" si="7"/>
        <v>0.05917684649</v>
      </c>
      <c r="P10" s="27">
        <f t="shared" si="4"/>
        <v>1485.721416</v>
      </c>
      <c r="Q10" s="9">
        <v>26658.6212924604</v>
      </c>
      <c r="R10" s="31">
        <f t="shared" si="8"/>
        <v>0.05916208933</v>
      </c>
      <c r="S10" s="27">
        <f t="shared" si="5"/>
        <v>208121.9334</v>
      </c>
      <c r="U10" s="31">
        <v>6.5444887149156E11</v>
      </c>
      <c r="V10" s="31">
        <f t="shared" si="9"/>
        <v>0.05917684649</v>
      </c>
      <c r="W10" s="27">
        <f t="shared" si="6"/>
        <v>5109.235132</v>
      </c>
      <c r="X10" s="27">
        <v>43.9</v>
      </c>
      <c r="Y10" s="27">
        <v>21.8</v>
      </c>
      <c r="Z10" s="27">
        <v>83.8</v>
      </c>
    </row>
    <row r="11" ht="15.0" customHeight="1">
      <c r="A11" s="19">
        <v>2002.0</v>
      </c>
      <c r="B11" s="20">
        <v>131633.83</v>
      </c>
      <c r="C11" s="27">
        <f t="shared" si="1"/>
        <v>131633830</v>
      </c>
      <c r="D11" s="28">
        <v>44.9793025536893</v>
      </c>
      <c r="E11" s="28">
        <f t="shared" si="2"/>
        <v>72425851.34</v>
      </c>
      <c r="F11" s="28">
        <f t="shared" si="3"/>
        <v>59207978.66</v>
      </c>
      <c r="N11" s="31">
        <v>2.19480696548107E11</v>
      </c>
      <c r="O11" s="31">
        <f t="shared" si="7"/>
        <v>0.1532915574</v>
      </c>
      <c r="P11" s="27">
        <f t="shared" si="4"/>
        <v>1667.357825</v>
      </c>
      <c r="Q11" s="9">
        <v>30745.1920571774</v>
      </c>
      <c r="R11" s="31">
        <f t="shared" si="8"/>
        <v>0.1532926523</v>
      </c>
      <c r="S11" s="27">
        <f t="shared" si="5"/>
        <v>233566.0374</v>
      </c>
      <c r="U11" s="31">
        <v>7.54770358247468E11</v>
      </c>
      <c r="V11" s="31">
        <f t="shared" si="9"/>
        <v>0.1532915574</v>
      </c>
      <c r="W11" s="27">
        <f t="shared" si="6"/>
        <v>5733.863083</v>
      </c>
      <c r="X11" s="27">
        <v>44.6</v>
      </c>
      <c r="Y11" s="27">
        <v>22.1</v>
      </c>
      <c r="Z11" s="27">
        <v>83.8</v>
      </c>
    </row>
    <row r="12" ht="15.0" customHeight="1">
      <c r="A12" s="19">
        <v>2003.0</v>
      </c>
      <c r="B12" s="20">
        <v>135310.147</v>
      </c>
      <c r="C12" s="27">
        <f t="shared" si="1"/>
        <v>135310147</v>
      </c>
      <c r="D12" s="28">
        <v>45.8372080921761</v>
      </c>
      <c r="E12" s="28">
        <f t="shared" si="2"/>
        <v>73287753.35</v>
      </c>
      <c r="F12" s="28">
        <f t="shared" si="3"/>
        <v>62022393.65</v>
      </c>
      <c r="N12" s="31">
        <v>2.35606371240474E11</v>
      </c>
      <c r="O12" s="31">
        <f t="shared" si="7"/>
        <v>0.07347194968</v>
      </c>
      <c r="P12" s="27">
        <f t="shared" si="4"/>
        <v>1741.232099</v>
      </c>
      <c r="Q12" s="9">
        <v>33004.7963398978</v>
      </c>
      <c r="R12" s="31">
        <f t="shared" si="8"/>
        <v>0.07349455741</v>
      </c>
      <c r="S12" s="27">
        <f t="shared" si="5"/>
        <v>243919.5956</v>
      </c>
      <c r="U12" s="31">
        <v>8.10224808028076E11</v>
      </c>
      <c r="V12" s="31">
        <f t="shared" si="9"/>
        <v>0.07347194968</v>
      </c>
      <c r="W12" s="27">
        <f t="shared" si="6"/>
        <v>5987.908712</v>
      </c>
      <c r="X12" s="27">
        <v>52.2</v>
      </c>
      <c r="Y12" s="27">
        <v>32.7</v>
      </c>
      <c r="Z12" s="27">
        <v>84.9</v>
      </c>
    </row>
    <row r="13" ht="15.0" customHeight="1">
      <c r="A13" s="19">
        <v>2004.0</v>
      </c>
      <c r="B13" s="20">
        <v>139095.142</v>
      </c>
      <c r="C13" s="27">
        <f t="shared" si="1"/>
        <v>139095142</v>
      </c>
      <c r="D13" s="28">
        <v>46.6994804889599</v>
      </c>
      <c r="E13" s="28">
        <f t="shared" si="2"/>
        <v>74138433.3</v>
      </c>
      <c r="F13" s="28">
        <f t="shared" si="3"/>
        <v>64956708.7</v>
      </c>
      <c r="N13" s="31">
        <v>2.57401275803854E11</v>
      </c>
      <c r="O13" s="31">
        <f t="shared" si="7"/>
        <v>0.09250558229</v>
      </c>
      <c r="P13" s="27">
        <f t="shared" si="4"/>
        <v>1850.541091</v>
      </c>
      <c r="Q13" s="9">
        <v>36057.7377757672</v>
      </c>
      <c r="R13" s="31">
        <f t="shared" si="8"/>
        <v>0.09249993257</v>
      </c>
      <c r="S13" s="27">
        <f t="shared" si="5"/>
        <v>259230.7485</v>
      </c>
      <c r="U13" s="31">
        <v>8.85175125682393E11</v>
      </c>
      <c r="V13" s="31">
        <f t="shared" si="9"/>
        <v>0.09250558229</v>
      </c>
      <c r="W13" s="27">
        <f t="shared" si="6"/>
        <v>6363.810504</v>
      </c>
      <c r="X13" s="27">
        <v>46.1</v>
      </c>
      <c r="Y13" s="27">
        <v>22.8</v>
      </c>
      <c r="Z13" s="27">
        <v>83.8</v>
      </c>
    </row>
    <row r="14" ht="15.0" customHeight="1">
      <c r="A14" s="19">
        <v>2005.0</v>
      </c>
      <c r="B14" s="20">
        <v>143018.948</v>
      </c>
      <c r="C14" s="27">
        <f t="shared" si="1"/>
        <v>143018948</v>
      </c>
      <c r="D14" s="28">
        <v>47.5656414756863</v>
      </c>
      <c r="E14" s="28">
        <f t="shared" si="2"/>
        <v>74991067.95</v>
      </c>
      <c r="F14" s="28">
        <f t="shared" si="3"/>
        <v>68027880.05</v>
      </c>
      <c r="N14" s="31">
        <v>2.7397409948297E11</v>
      </c>
      <c r="O14" s="31">
        <f t="shared" si="7"/>
        <v>0.06438516525</v>
      </c>
      <c r="P14" s="27">
        <f t="shared" si="4"/>
        <v>1915.648963</v>
      </c>
      <c r="Q14" s="9">
        <v>38378.7960609141</v>
      </c>
      <c r="R14" s="31">
        <f t="shared" si="8"/>
        <v>0.06437060194</v>
      </c>
      <c r="S14" s="27">
        <f t="shared" si="5"/>
        <v>268347.6322</v>
      </c>
      <c r="U14" s="31">
        <v>9.42167272427824E11</v>
      </c>
      <c r="V14" s="31">
        <f t="shared" si="9"/>
        <v>0.06438516525</v>
      </c>
      <c r="W14" s="27">
        <f t="shared" si="6"/>
        <v>6587.70943</v>
      </c>
      <c r="X14" s="27">
        <v>46.8</v>
      </c>
      <c r="Y14" s="27">
        <v>23.1</v>
      </c>
      <c r="Z14" s="27">
        <v>83.8</v>
      </c>
    </row>
    <row r="15" ht="15.0" customHeight="1">
      <c r="A15" s="19">
        <v>2006.0</v>
      </c>
      <c r="B15" s="20">
        <v>147015.559</v>
      </c>
      <c r="C15" s="27">
        <f t="shared" si="1"/>
        <v>147015559</v>
      </c>
      <c r="D15" s="28">
        <v>48.424271994461</v>
      </c>
      <c r="E15" s="28">
        <f t="shared" si="2"/>
        <v>75824344.84</v>
      </c>
      <c r="F15" s="28">
        <f t="shared" si="3"/>
        <v>71191214.16</v>
      </c>
      <c r="N15" s="31">
        <v>2.90575362867529E11</v>
      </c>
      <c r="O15" s="31">
        <f t="shared" si="7"/>
        <v>0.06059428032</v>
      </c>
      <c r="P15" s="27">
        <f t="shared" si="4"/>
        <v>1976.49395</v>
      </c>
      <c r="Q15" s="9">
        <v>40703.6813830967</v>
      </c>
      <c r="R15" s="31">
        <f t="shared" si="8"/>
        <v>0.06057733855</v>
      </c>
      <c r="S15" s="27">
        <f t="shared" si="5"/>
        <v>276866.4872</v>
      </c>
      <c r="U15" s="31">
        <v>9.9925722024188E11</v>
      </c>
      <c r="V15" s="31">
        <f t="shared" si="9"/>
        <v>0.06059428032</v>
      </c>
      <c r="W15" s="27">
        <f t="shared" si="6"/>
        <v>6796.948752</v>
      </c>
      <c r="X15" s="27">
        <v>47.6</v>
      </c>
      <c r="Y15" s="27">
        <v>23.5</v>
      </c>
      <c r="Z15" s="27">
        <v>83.9</v>
      </c>
    </row>
    <row r="16" ht="15.0" customHeight="1">
      <c r="A16" s="19">
        <v>2007.0</v>
      </c>
      <c r="B16" s="20">
        <v>151139.108</v>
      </c>
      <c r="C16" s="27">
        <f t="shared" si="1"/>
        <v>151139108</v>
      </c>
      <c r="D16" s="28">
        <v>49.2357987173198</v>
      </c>
      <c r="E16" s="28">
        <f t="shared" si="2"/>
        <v>76724561</v>
      </c>
      <c r="F16" s="28">
        <f t="shared" si="3"/>
        <v>74414547</v>
      </c>
      <c r="N16" s="31">
        <v>3.09727563830114E11</v>
      </c>
      <c r="O16" s="31">
        <f t="shared" si="7"/>
        <v>0.06591130361</v>
      </c>
      <c r="P16" s="27">
        <f t="shared" si="4"/>
        <v>2049.288023</v>
      </c>
      <c r="Q16" s="9">
        <v>43385.8770815598</v>
      </c>
      <c r="R16" s="31">
        <f t="shared" si="8"/>
        <v>0.06589565384</v>
      </c>
      <c r="S16" s="27">
        <f t="shared" si="5"/>
        <v>287059.2374</v>
      </c>
      <c r="U16" s="31">
        <v>1.06511956626642E12</v>
      </c>
      <c r="V16" s="31">
        <f t="shared" si="9"/>
        <v>0.06591130361</v>
      </c>
      <c r="W16" s="27">
        <f t="shared" si="6"/>
        <v>7047.279691</v>
      </c>
      <c r="X16" s="27">
        <v>50.1</v>
      </c>
      <c r="Y16" s="27">
        <v>25.3</v>
      </c>
      <c r="Z16" s="27">
        <v>86.2</v>
      </c>
    </row>
    <row r="17" ht="15.0" customHeight="1">
      <c r="A17" s="19">
        <v>2008.0</v>
      </c>
      <c r="B17" s="20">
        <v>155395.414</v>
      </c>
      <c r="C17" s="27">
        <f t="shared" si="1"/>
        <v>155395414</v>
      </c>
      <c r="D17" s="28">
        <v>50.0505212312351</v>
      </c>
      <c r="E17" s="28">
        <f t="shared" si="2"/>
        <v>77619199.32</v>
      </c>
      <c r="F17" s="28">
        <f t="shared" si="3"/>
        <v>77776214.68</v>
      </c>
      <c r="N17" s="31">
        <v>3.30679000570877E11</v>
      </c>
      <c r="O17" s="31">
        <f t="shared" si="7"/>
        <v>0.06764472778</v>
      </c>
      <c r="P17" s="27">
        <f t="shared" si="4"/>
        <v>2127.984295</v>
      </c>
      <c r="Q17" s="9">
        <v>46320.0149440127</v>
      </c>
      <c r="R17" s="31">
        <f t="shared" si="8"/>
        <v>0.06762887049</v>
      </c>
      <c r="S17" s="27">
        <f t="shared" si="5"/>
        <v>298078.3908</v>
      </c>
      <c r="U17" s="31">
        <v>1.13716928937798E12</v>
      </c>
      <c r="V17" s="31">
        <f t="shared" si="9"/>
        <v>0.06764472778</v>
      </c>
      <c r="W17" s="27">
        <f t="shared" si="6"/>
        <v>7317.907653</v>
      </c>
      <c r="X17" s="27">
        <v>50.3</v>
      </c>
      <c r="Y17" s="27">
        <v>25.6</v>
      </c>
      <c r="Z17" s="27">
        <v>84.8</v>
      </c>
    </row>
    <row r="18" ht="15.0" customHeight="1">
      <c r="A18" s="19">
        <v>2009.0</v>
      </c>
      <c r="B18" s="20">
        <v>159794.614</v>
      </c>
      <c r="C18" s="27">
        <f t="shared" si="1"/>
        <v>159794614</v>
      </c>
      <c r="D18" s="28">
        <v>50.86453484762</v>
      </c>
      <c r="E18" s="28">
        <f t="shared" si="2"/>
        <v>78515826.88</v>
      </c>
      <c r="F18" s="28">
        <f t="shared" si="3"/>
        <v>81278787.12</v>
      </c>
      <c r="N18" s="31">
        <v>3.57255424171506E11</v>
      </c>
      <c r="O18" s="31">
        <f t="shared" si="7"/>
        <v>0.08036925101</v>
      </c>
      <c r="P18" s="27">
        <f t="shared" si="4"/>
        <v>2235.716306</v>
      </c>
      <c r="Q18" s="9">
        <v>50042.3606485094</v>
      </c>
      <c r="R18" s="31">
        <f t="shared" si="8"/>
        <v>0.08036149619</v>
      </c>
      <c r="S18" s="27">
        <f t="shared" si="5"/>
        <v>313166.7545</v>
      </c>
      <c r="U18" s="31">
        <v>1.22856273343691E12</v>
      </c>
      <c r="V18" s="31">
        <f t="shared" si="9"/>
        <v>0.08036925101</v>
      </c>
      <c r="W18" s="27">
        <f t="shared" si="6"/>
        <v>7688.386377</v>
      </c>
      <c r="X18" s="27">
        <v>50.0</v>
      </c>
      <c r="Y18" s="27">
        <v>24.6</v>
      </c>
      <c r="Z18" s="27">
        <v>84.1</v>
      </c>
    </row>
    <row r="19" ht="15.0" customHeight="1">
      <c r="A19" s="19">
        <v>2010.0</v>
      </c>
      <c r="B19" s="20">
        <v>164304.314</v>
      </c>
      <c r="C19" s="27">
        <f t="shared" si="1"/>
        <v>164304314</v>
      </c>
      <c r="D19" s="28">
        <v>51.6778188255446</v>
      </c>
      <c r="E19" s="28">
        <f t="shared" si="2"/>
        <v>79395428.29</v>
      </c>
      <c r="F19" s="28">
        <f t="shared" si="3"/>
        <v>84908885.71</v>
      </c>
      <c r="N19" s="31">
        <v>3.85856064172751E11</v>
      </c>
      <c r="O19" s="31">
        <f t="shared" si="7"/>
        <v>0.08005655916</v>
      </c>
      <c r="P19" s="27">
        <f t="shared" si="4"/>
        <v>2348.423208</v>
      </c>
      <c r="Q19" s="9">
        <v>54612.264176578</v>
      </c>
      <c r="R19" s="31">
        <f t="shared" si="8"/>
        <v>0.09132070248</v>
      </c>
      <c r="S19" s="27">
        <f t="shared" si="5"/>
        <v>332384.8464</v>
      </c>
      <c r="U19" s="31">
        <v>1.32691723859092E12</v>
      </c>
      <c r="V19" s="31">
        <f t="shared" si="9"/>
        <v>0.08005655916</v>
      </c>
      <c r="W19" s="27">
        <f t="shared" si="6"/>
        <v>8075.973213</v>
      </c>
      <c r="X19" s="27">
        <v>48.0</v>
      </c>
      <c r="Y19" s="27">
        <v>23.5</v>
      </c>
      <c r="Z19" s="27">
        <v>79.8</v>
      </c>
    </row>
    <row r="20" ht="15.0" customHeight="1">
      <c r="A20" s="19">
        <v>2011.0</v>
      </c>
      <c r="B20" s="20">
        <v>168981.457</v>
      </c>
      <c r="C20" s="27">
        <f t="shared" si="1"/>
        <v>168981457</v>
      </c>
      <c r="D20" s="28">
        <v>52.490352424079</v>
      </c>
      <c r="E20" s="28">
        <f t="shared" si="2"/>
        <v>80282494.69</v>
      </c>
      <c r="F20" s="28">
        <f t="shared" si="3"/>
        <v>88698962.31</v>
      </c>
      <c r="N20" s="31">
        <v>4.06337011591485E11</v>
      </c>
      <c r="O20" s="31">
        <f t="shared" si="7"/>
        <v>0.05307924203</v>
      </c>
      <c r="P20" s="27">
        <f t="shared" si="4"/>
        <v>2404.624855</v>
      </c>
      <c r="Q20" s="9">
        <v>57511.0417650381</v>
      </c>
      <c r="R20" s="31">
        <f t="shared" si="8"/>
        <v>0.05307924204</v>
      </c>
      <c r="S20" s="27">
        <f t="shared" si="5"/>
        <v>340339.365</v>
      </c>
      <c r="U20" s="31">
        <v>1.39734899985106E12</v>
      </c>
      <c r="V20" s="31">
        <f t="shared" si="9"/>
        <v>0.05307924203</v>
      </c>
      <c r="W20" s="27">
        <f t="shared" si="6"/>
        <v>8269.244594</v>
      </c>
      <c r="X20" s="27">
        <v>55.9</v>
      </c>
      <c r="Y20" s="27">
        <v>31.0</v>
      </c>
      <c r="Z20" s="27">
        <v>87.1</v>
      </c>
    </row>
    <row r="21" ht="15.0" customHeight="1">
      <c r="A21" s="19">
        <v>2012.0</v>
      </c>
      <c r="B21" s="20">
        <v>173777.738</v>
      </c>
      <c r="C21" s="27">
        <f t="shared" si="1"/>
        <v>173777738</v>
      </c>
      <c r="D21" s="28">
        <v>53.302114902293</v>
      </c>
      <c r="E21" s="28">
        <f t="shared" si="2"/>
        <v>81150528.42</v>
      </c>
      <c r="F21" s="28">
        <f t="shared" si="3"/>
        <v>92627209.58</v>
      </c>
      <c r="N21" s="31">
        <v>4.23525315758166E11</v>
      </c>
      <c r="O21" s="31">
        <f t="shared" si="7"/>
        <v>0.04230061175</v>
      </c>
      <c r="P21" s="27">
        <f t="shared" si="4"/>
        <v>2437.166697</v>
      </c>
      <c r="Q21" s="9">
        <v>59929.8930440608</v>
      </c>
      <c r="R21" s="31">
        <f t="shared" si="8"/>
        <v>0.04205890217</v>
      </c>
      <c r="S21" s="27">
        <f t="shared" si="5"/>
        <v>344865.1924</v>
      </c>
      <c r="U21" s="31">
        <v>1.45645771737196E12</v>
      </c>
      <c r="V21" s="31">
        <f t="shared" si="9"/>
        <v>0.04230061175</v>
      </c>
      <c r="W21" s="27">
        <f t="shared" si="6"/>
        <v>8381.152466</v>
      </c>
      <c r="X21" s="27">
        <v>53.0</v>
      </c>
      <c r="Y21" s="27">
        <v>27.0</v>
      </c>
      <c r="Z21" s="27">
        <v>84.5</v>
      </c>
    </row>
    <row r="22" ht="15.0" customHeight="1">
      <c r="A22" s="19">
        <v>2013.0</v>
      </c>
      <c r="B22" s="20">
        <v>178623.511</v>
      </c>
      <c r="C22" s="27">
        <f t="shared" si="1"/>
        <v>178623511</v>
      </c>
      <c r="D22" s="28">
        <v>54.1130855192568</v>
      </c>
      <c r="E22" s="28">
        <f t="shared" si="2"/>
        <v>81964817.74</v>
      </c>
      <c r="F22" s="28">
        <f t="shared" si="3"/>
        <v>96658693.26</v>
      </c>
      <c r="N22" s="31">
        <v>4.51780110047004E11</v>
      </c>
      <c r="O22" s="31">
        <f t="shared" si="7"/>
        <v>0.06671335393</v>
      </c>
      <c r="P22" s="27">
        <f t="shared" si="4"/>
        <v>2529.230937</v>
      </c>
      <c r="Q22" s="9">
        <v>63218.7217300189</v>
      </c>
      <c r="R22" s="31">
        <f t="shared" si="8"/>
        <v>0.05487793351</v>
      </c>
      <c r="S22" s="27">
        <f t="shared" si="5"/>
        <v>353921.6163</v>
      </c>
      <c r="U22" s="31">
        <v>1.55362289655627E12</v>
      </c>
      <c r="V22" s="31">
        <f t="shared" si="9"/>
        <v>0.06671335393</v>
      </c>
      <c r="W22" s="27">
        <f t="shared" si="6"/>
        <v>8697.751421</v>
      </c>
      <c r="X22" s="27">
        <v>55.6</v>
      </c>
      <c r="Y22" s="27">
        <v>31.6</v>
      </c>
      <c r="Z22" s="27">
        <v>83.6</v>
      </c>
    </row>
    <row r="23" ht="15.0" customHeight="1">
      <c r="A23" s="19">
        <v>2014.0</v>
      </c>
      <c r="B23" s="20">
        <v>183475.375</v>
      </c>
      <c r="C23" s="27">
        <f t="shared" si="1"/>
        <v>183475375</v>
      </c>
      <c r="D23" s="28">
        <v>54.9232435340404</v>
      </c>
      <c r="E23" s="28">
        <f t="shared" si="2"/>
        <v>82704747.96</v>
      </c>
      <c r="F23" s="28">
        <f t="shared" si="3"/>
        <v>100770627</v>
      </c>
      <c r="N23" s="31">
        <v>4.80286163931207E11</v>
      </c>
      <c r="O23" s="31">
        <f t="shared" si="7"/>
        <v>0.06309718655</v>
      </c>
      <c r="P23" s="27">
        <f t="shared" si="4"/>
        <v>2617.714578</v>
      </c>
      <c r="Q23" s="9">
        <v>67152.7858352847</v>
      </c>
      <c r="R23" s="31">
        <f t="shared" si="8"/>
        <v>0.06222941555</v>
      </c>
      <c r="S23" s="27">
        <f t="shared" si="5"/>
        <v>366004.3525</v>
      </c>
      <c r="U23" s="31">
        <v>1.65165213029203E12</v>
      </c>
      <c r="V23" s="31">
        <f t="shared" si="9"/>
        <v>0.06309718655</v>
      </c>
      <c r="W23" s="27">
        <f t="shared" si="6"/>
        <v>9002.037087</v>
      </c>
      <c r="X23" s="27">
        <v>54.2</v>
      </c>
      <c r="Y23" s="27">
        <v>27.1</v>
      </c>
      <c r="Z23" s="27">
        <v>84.7</v>
      </c>
    </row>
    <row r="24" ht="15.0" customHeight="1">
      <c r="A24" s="19">
        <v>2015.0</v>
      </c>
      <c r="B24" s="20">
        <v>188318.455</v>
      </c>
      <c r="C24" s="27">
        <f t="shared" si="1"/>
        <v>188318455</v>
      </c>
      <c r="D24" s="28">
        <v>55.7325682057138</v>
      </c>
      <c r="E24" s="28">
        <f t="shared" si="2"/>
        <v>83363743.62</v>
      </c>
      <c r="F24" s="28">
        <f t="shared" si="3"/>
        <v>104954711.4</v>
      </c>
      <c r="N24" s="31">
        <v>4.9302668280063E11</v>
      </c>
      <c r="O24" s="31">
        <f t="shared" si="7"/>
        <v>0.02652693295</v>
      </c>
      <c r="P24" s="27">
        <f t="shared" si="4"/>
        <v>2618.047619</v>
      </c>
      <c r="Q24" s="9">
        <v>69023.9299433855</v>
      </c>
      <c r="R24" s="31">
        <f t="shared" si="8"/>
        <v>0.02786398338</v>
      </c>
      <c r="S24" s="27">
        <f t="shared" si="5"/>
        <v>366527.6988</v>
      </c>
      <c r="U24" s="31">
        <v>1.69546539561591E12</v>
      </c>
      <c r="V24" s="31">
        <f t="shared" si="9"/>
        <v>0.02652693295</v>
      </c>
      <c r="W24" s="27">
        <f t="shared" si="6"/>
        <v>9003.182379</v>
      </c>
      <c r="X24" s="27">
        <v>52.5</v>
      </c>
      <c r="Y24" s="27">
        <v>25.9</v>
      </c>
      <c r="Z24" s="27">
        <v>81.5</v>
      </c>
    </row>
    <row r="25" ht="15.0" customHeight="1">
      <c r="A25" s="19">
        <v>2016.0</v>
      </c>
      <c r="B25" s="20">
        <v>193025.301</v>
      </c>
      <c r="C25" s="27">
        <f t="shared" si="1"/>
        <v>193025301</v>
      </c>
      <c r="D25" s="28">
        <v>56.541038793347</v>
      </c>
      <c r="E25" s="28">
        <f t="shared" si="2"/>
        <v>83886790.68</v>
      </c>
      <c r="F25" s="28">
        <f t="shared" si="3"/>
        <v>109138510.3</v>
      </c>
      <c r="N25" s="31">
        <v>4.85055087455971E11</v>
      </c>
      <c r="O25" s="31">
        <f t="shared" si="7"/>
        <v>-0.01616868949</v>
      </c>
      <c r="P25" s="27">
        <f t="shared" si="4"/>
        <v>2512.90937</v>
      </c>
      <c r="Q25" s="9">
        <v>67931.2359268811</v>
      </c>
      <c r="R25" s="31">
        <f t="shared" si="8"/>
        <v>-0.01583065493</v>
      </c>
      <c r="S25" s="27">
        <f t="shared" si="5"/>
        <v>351929.1801</v>
      </c>
      <c r="U25" s="31">
        <v>1.66805194209257E12</v>
      </c>
      <c r="V25" s="31">
        <f t="shared" si="9"/>
        <v>-0.01616868949</v>
      </c>
      <c r="W25" s="27">
        <f t="shared" si="6"/>
        <v>8641.623318</v>
      </c>
      <c r="X25" s="27">
        <v>59.3</v>
      </c>
      <c r="Y25" s="27">
        <v>34.0</v>
      </c>
      <c r="Z25" s="27">
        <v>86.0</v>
      </c>
    </row>
    <row r="26" ht="15.0" customHeight="1">
      <c r="A26" s="19">
        <v>2017.0</v>
      </c>
      <c r="B26" s="20">
        <v>197862.099</v>
      </c>
      <c r="C26" s="27">
        <f t="shared" si="1"/>
        <v>197862099</v>
      </c>
      <c r="D26" s="28">
        <v>57.3486345560101</v>
      </c>
      <c r="E26" s="28">
        <f t="shared" si="2"/>
        <v>84390886.92</v>
      </c>
      <c r="F26" s="28">
        <f t="shared" si="3"/>
        <v>113471212.1</v>
      </c>
      <c r="N26" s="31">
        <v>4.88964081501001E11</v>
      </c>
      <c r="O26" s="31">
        <f t="shared" si="7"/>
        <v>0.008058866191</v>
      </c>
      <c r="P26" s="27">
        <f t="shared" si="4"/>
        <v>2471.236705</v>
      </c>
      <c r="Q26" s="9">
        <v>68490.9803364587</v>
      </c>
      <c r="R26" s="31">
        <f t="shared" si="8"/>
        <v>0.008239867889</v>
      </c>
      <c r="S26" s="27">
        <f t="shared" si="5"/>
        <v>346155.1287</v>
      </c>
      <c r="U26" s="31">
        <v>1.68149454949339E12</v>
      </c>
      <c r="V26" s="31">
        <f t="shared" si="9"/>
        <v>0.008058866191</v>
      </c>
      <c r="W26" s="27">
        <f t="shared" si="6"/>
        <v>8498.315534</v>
      </c>
      <c r="X26" s="27">
        <v>54.4</v>
      </c>
      <c r="Y26" s="27">
        <v>22.6</v>
      </c>
      <c r="Z26" s="27">
        <v>86.8</v>
      </c>
    </row>
    <row r="27" ht="15.0" customHeight="1">
      <c r="A27" s="19">
        <v>2018.0</v>
      </c>
      <c r="B27" s="20">
        <v>202647.058</v>
      </c>
      <c r="C27" s="27">
        <f t="shared" si="1"/>
        <v>202647058</v>
      </c>
      <c r="D27" s="28">
        <v>58.1553347527729</v>
      </c>
      <c r="E27" s="28">
        <f t="shared" si="2"/>
        <v>84796983.05</v>
      </c>
      <c r="F27" s="28">
        <f t="shared" si="3"/>
        <v>117850074.9</v>
      </c>
      <c r="N27" s="31">
        <v>4.98365674277795E11</v>
      </c>
      <c r="O27" s="31">
        <f t="shared" si="7"/>
        <v>0.01922757342</v>
      </c>
      <c r="P27" s="27">
        <f t="shared" si="4"/>
        <v>2459.279099</v>
      </c>
      <c r="Q27" s="9">
        <v>69799.941948336</v>
      </c>
      <c r="R27" s="31">
        <f t="shared" si="8"/>
        <v>0.01911144512</v>
      </c>
      <c r="S27" s="27">
        <f t="shared" si="5"/>
        <v>344440.9341</v>
      </c>
      <c r="U27" s="31">
        <v>1.71382560939907E12</v>
      </c>
      <c r="V27" s="31">
        <f t="shared" si="9"/>
        <v>0.01922757342</v>
      </c>
      <c r="W27" s="27">
        <f t="shared" si="6"/>
        <v>8457.194624</v>
      </c>
      <c r="X27" s="27">
        <v>56.5</v>
      </c>
      <c r="Y27" s="27">
        <v>31.0</v>
      </c>
      <c r="Z27" s="27">
        <v>81.7</v>
      </c>
    </row>
    <row r="28" ht="15.0" customHeight="1">
      <c r="A28" s="19">
        <v>2019.0</v>
      </c>
      <c r="B28" s="20">
        <v>207230.451</v>
      </c>
      <c r="C28" s="27">
        <f t="shared" si="1"/>
        <v>207230451</v>
      </c>
      <c r="D28" s="28">
        <v>58.9611186427056</v>
      </c>
      <c r="E28" s="28">
        <f t="shared" si="2"/>
        <v>85045058.92</v>
      </c>
      <c r="F28" s="28">
        <f t="shared" si="3"/>
        <v>122185392.1</v>
      </c>
      <c r="N28" s="31">
        <v>5.09371727741802E11</v>
      </c>
      <c r="O28" s="31">
        <f t="shared" si="7"/>
        <v>0.02208429278</v>
      </c>
      <c r="P28" s="27">
        <f t="shared" si="4"/>
        <v>2457.996522</v>
      </c>
      <c r="Q28" s="9">
        <v>71387.8266741664</v>
      </c>
      <c r="R28" s="31">
        <f t="shared" si="8"/>
        <v>0.02274908376</v>
      </c>
      <c r="S28" s="27">
        <f t="shared" si="5"/>
        <v>344485.216</v>
      </c>
      <c r="U28" s="31">
        <v>1.75167423593694E12</v>
      </c>
      <c r="V28" s="31">
        <f t="shared" si="9"/>
        <v>0.02208429278</v>
      </c>
      <c r="W28" s="27">
        <f t="shared" si="6"/>
        <v>8452.783978</v>
      </c>
      <c r="X28" s="27">
        <v>55.4</v>
      </c>
      <c r="Y28" s="27">
        <v>25.5</v>
      </c>
      <c r="Z28" s="27">
        <v>83.9</v>
      </c>
    </row>
    <row r="29" ht="15.0" customHeight="1">
      <c r="A29" s="19">
        <v>2020.0</v>
      </c>
      <c r="B29" s="20">
        <v>211740.831</v>
      </c>
      <c r="C29" s="27">
        <f t="shared" si="1"/>
        <v>211740831</v>
      </c>
      <c r="D29" s="28">
        <v>59.7659654848781</v>
      </c>
      <c r="E29" s="28">
        <f t="shared" si="2"/>
        <v>85191879.03</v>
      </c>
      <c r="F29" s="28">
        <f t="shared" si="3"/>
        <v>126548952</v>
      </c>
      <c r="N29" s="31">
        <v>4.76930359899737E11</v>
      </c>
      <c r="O29" s="31">
        <f t="shared" si="7"/>
        <v>-0.06368898405</v>
      </c>
      <c r="P29" s="27">
        <f t="shared" si="4"/>
        <v>2252.425088</v>
      </c>
      <c r="Q29" s="9">
        <v>70014.3718479425</v>
      </c>
      <c r="R29" s="31">
        <f t="shared" si="8"/>
        <v>-0.0192393422</v>
      </c>
      <c r="S29" s="27">
        <f t="shared" si="5"/>
        <v>330660.7021</v>
      </c>
      <c r="U29" s="31">
        <v>1.64011188346907E12</v>
      </c>
      <c r="V29" s="31">
        <f t="shared" si="9"/>
        <v>-0.06368898405</v>
      </c>
      <c r="W29" s="27">
        <f t="shared" si="6"/>
        <v>7745.846069</v>
      </c>
      <c r="X29" s="27">
        <v>55.4</v>
      </c>
      <c r="Y29" s="27">
        <v>24.6</v>
      </c>
      <c r="Z29" s="27">
        <v>83.9</v>
      </c>
    </row>
    <row r="30" ht="15.0" customHeight="1">
      <c r="A30" s="19">
        <v>2021.0</v>
      </c>
      <c r="B30" s="20">
        <v>216251.531</v>
      </c>
      <c r="C30" s="27">
        <f t="shared" si="1"/>
        <v>216251531</v>
      </c>
      <c r="D30" s="28">
        <v>60.5698545383604</v>
      </c>
      <c r="E30" s="28">
        <f t="shared" si="2"/>
        <v>85268293.24</v>
      </c>
      <c r="F30" s="28">
        <f t="shared" si="3"/>
        <v>130983237.8</v>
      </c>
      <c r="N30" s="31">
        <v>4.82220722032144E11</v>
      </c>
      <c r="O30" s="31">
        <f t="shared" si="7"/>
        <v>0.0110925254</v>
      </c>
      <c r="P30" s="27">
        <f t="shared" si="4"/>
        <v>2229.906627</v>
      </c>
      <c r="Q30" s="9">
        <v>72393.6734436774</v>
      </c>
      <c r="R30" s="31">
        <f t="shared" si="8"/>
        <v>0.03398304567</v>
      </c>
      <c r="S30" s="27">
        <f t="shared" si="5"/>
        <v>334766.062</v>
      </c>
      <c r="U30" s="31">
        <v>1.65830486619937E12</v>
      </c>
      <c r="V30" s="31">
        <f t="shared" si="9"/>
        <v>0.0110925254</v>
      </c>
      <c r="W30" s="27">
        <f t="shared" si="6"/>
        <v>7668.407518</v>
      </c>
      <c r="X30" s="27">
        <v>59.5</v>
      </c>
      <c r="Y30" s="27">
        <v>26.3</v>
      </c>
      <c r="Z30" s="27">
        <v>89.2</v>
      </c>
    </row>
    <row r="31" ht="15.0" customHeight="1">
      <c r="A31" s="19">
        <v>2022.0</v>
      </c>
      <c r="B31" s="20">
        <v>220807.042</v>
      </c>
      <c r="C31" s="27">
        <f t="shared" si="1"/>
        <v>220807042</v>
      </c>
      <c r="D31" s="28">
        <v>61.3727650622225</v>
      </c>
      <c r="E31" s="28">
        <f t="shared" si="2"/>
        <v>85291654.87</v>
      </c>
      <c r="F31" s="28">
        <f t="shared" si="3"/>
        <v>135515387.1</v>
      </c>
      <c r="N31" s="31">
        <v>5.03047012789736E11</v>
      </c>
      <c r="O31" s="31">
        <f t="shared" si="7"/>
        <v>0.04318829492</v>
      </c>
      <c r="P31" s="27">
        <f t="shared" si="4"/>
        <v>2278.219971</v>
      </c>
      <c r="Q31" s="9">
        <v>74639.4689434296</v>
      </c>
      <c r="R31" s="31">
        <f t="shared" si="8"/>
        <v>0.03102198566</v>
      </c>
      <c r="S31" s="27">
        <f t="shared" si="5"/>
        <v>338030.2923</v>
      </c>
      <c r="U31" s="31">
        <v>1.72992422582095E12</v>
      </c>
      <c r="V31" s="31">
        <f t="shared" si="9"/>
        <v>0.04318829492</v>
      </c>
      <c r="W31" s="27">
        <f t="shared" si="6"/>
        <v>7834.551879</v>
      </c>
      <c r="X31" s="27">
        <v>60.5</v>
      </c>
      <c r="Y31" s="27">
        <v>27.0</v>
      </c>
      <c r="Z31" s="27">
        <v>89.0</v>
      </c>
    </row>
    <row r="32" ht="15.0" customHeight="1">
      <c r="A32" s="19">
        <v>2023.0</v>
      </c>
      <c r="B32" s="20">
        <v>225494.749</v>
      </c>
      <c r="C32" s="27">
        <f t="shared" si="1"/>
        <v>225494749</v>
      </c>
      <c r="D32" s="28">
        <v>62.1746763155343</v>
      </c>
      <c r="E32" s="28">
        <f t="shared" si="2"/>
        <v>85294118.7</v>
      </c>
      <c r="F32" s="28">
        <f t="shared" si="3"/>
        <v>140200630.3</v>
      </c>
      <c r="N32" s="31">
        <v>5.19727567204567E11</v>
      </c>
      <c r="O32" s="31">
        <f t="shared" si="7"/>
        <v>0.03315903681</v>
      </c>
      <c r="P32" s="27">
        <f t="shared" si="4"/>
        <v>2304.832239</v>
      </c>
      <c r="Q32" s="9">
        <v>76684.940769791</v>
      </c>
      <c r="R32" s="31">
        <f t="shared" si="8"/>
        <v>0.02740469426</v>
      </c>
      <c r="S32" s="27">
        <f t="shared" si="5"/>
        <v>340074.1752</v>
      </c>
      <c r="U32" s="31">
        <v>1.78728684690544E12</v>
      </c>
      <c r="V32" s="31">
        <f t="shared" si="9"/>
        <v>0.03315903681</v>
      </c>
      <c r="W32" s="27">
        <f t="shared" si="6"/>
        <v>7926.068588</v>
      </c>
      <c r="X32" s="27">
        <v>61.2</v>
      </c>
      <c r="Y32" s="27">
        <v>32.9</v>
      </c>
      <c r="Z32" s="27">
        <v>85.0</v>
      </c>
    </row>
    <row r="33" ht="15.0" customHeight="1">
      <c r="A33" s="19">
        <v>2024.0</v>
      </c>
      <c r="B33" s="20">
        <v>230271.141</v>
      </c>
      <c r="C33" s="27">
        <f t="shared" si="1"/>
        <v>230271141</v>
      </c>
      <c r="D33" s="28">
        <v>62.9755675573659</v>
      </c>
      <c r="E33" s="28">
        <f t="shared" si="2"/>
        <v>85256583.03</v>
      </c>
      <c r="F33" s="28">
        <f t="shared" si="3"/>
        <v>145014558</v>
      </c>
      <c r="N33" s="31">
        <v>5.40886022091974E11</v>
      </c>
      <c r="O33" s="31">
        <f t="shared" si="7"/>
        <v>0.04071066501</v>
      </c>
      <c r="P33" s="27">
        <f t="shared" si="4"/>
        <v>2348.909289</v>
      </c>
      <c r="Q33" s="9">
        <v>79289.3926326924</v>
      </c>
      <c r="R33" s="31">
        <f t="shared" si="8"/>
        <v>0.0339630159</v>
      </c>
      <c r="S33" s="27">
        <f t="shared" si="5"/>
        <v>344330.5674</v>
      </c>
      <c r="U33" s="31">
        <v>1.86004848301511E12</v>
      </c>
      <c r="V33" s="31">
        <f t="shared" si="9"/>
        <v>0.04071066501</v>
      </c>
      <c r="W33" s="27">
        <f t="shared" si="6"/>
        <v>8077.644793</v>
      </c>
      <c r="X33" s="27">
        <v>62.5</v>
      </c>
      <c r="Y33" s="27">
        <v>23.5</v>
      </c>
      <c r="Z33" s="27">
        <v>85.5</v>
      </c>
    </row>
    <row r="34" ht="15.0" customHeight="1">
      <c r="A34" s="57">
        <v>2025.0</v>
      </c>
      <c r="B34" s="58">
        <v>235087.814</v>
      </c>
      <c r="C34" s="59">
        <f t="shared" si="1"/>
        <v>235087814</v>
      </c>
      <c r="D34" s="60">
        <v>63.7754180467872</v>
      </c>
      <c r="E34" s="28">
        <f t="shared" si="2"/>
        <v>85159577.84</v>
      </c>
      <c r="F34" s="28">
        <f t="shared" si="3"/>
        <v>149928236.2</v>
      </c>
      <c r="G34" s="59">
        <v>5.6</v>
      </c>
      <c r="H34" s="59">
        <v>6.0</v>
      </c>
      <c r="I34" s="59">
        <v>4.9</v>
      </c>
      <c r="J34" s="59"/>
      <c r="K34" s="61">
        <f t="shared" ref="K34:K69" si="11">C34/G34</f>
        <v>41979966.79</v>
      </c>
      <c r="L34" s="61">
        <f t="shared" ref="L34:M34" si="10">E34/H34</f>
        <v>14193262.97</v>
      </c>
      <c r="M34" s="61">
        <f t="shared" si="10"/>
        <v>30597599.22</v>
      </c>
      <c r="N34" s="62">
        <v>5.62593735122067E11</v>
      </c>
      <c r="O34" s="62">
        <f t="shared" si="7"/>
        <v>0.04013361807</v>
      </c>
      <c r="P34" s="59">
        <f t="shared" si="4"/>
        <v>2393.121641</v>
      </c>
      <c r="Q34" s="63">
        <f t="shared" ref="Q34:Q69" si="13">Q33+(Q33*R34)</f>
        <v>82471.56283</v>
      </c>
      <c r="R34" s="31">
        <f t="shared" ref="R34:R69" si="14">O34</f>
        <v>0.04013361807</v>
      </c>
      <c r="S34" s="59">
        <f t="shared" si="5"/>
        <v>350811.7304</v>
      </c>
      <c r="T34" s="59"/>
      <c r="U34" s="62">
        <v>1.93469895842431E12</v>
      </c>
      <c r="V34" s="62">
        <f t="shared" si="9"/>
        <v>0.04013361807</v>
      </c>
      <c r="W34" s="59">
        <f t="shared" si="6"/>
        <v>8229.686284</v>
      </c>
      <c r="X34" s="65">
        <f t="shared" ref="X34:X69" si="15">(Z34*D34+Y34*(100-D34))/100</f>
        <v>65.90370536</v>
      </c>
      <c r="Y34" s="65">
        <f>IF(100/(1+EXP(-('Access Projection Model'!$T$64+'Access Projection Model'!$T$61*(A34-2024))))&gt;=100*'Access Projection Model'!$T$62,100,100/(1+EXP(-('Access Projection Model'!$T$64+'Access Projection Model'!$T$61*(A34-2024)))))</f>
        <v>27.63592113</v>
      </c>
      <c r="Z34" s="65">
        <f>IF(100/(1+EXP(-('Access Projection Model'!$T$63+'Access Projection Model'!$T$60*(A34-2024))))&gt;=100*'Access Projection Model'!$T$62,100,100/(1+EXP(-('Access Projection Model'!$T$63+'Access Projection Model'!$T$60*(A34-2024)))))</f>
        <v>87.63989351</v>
      </c>
    </row>
    <row r="35" ht="15.0" customHeight="1">
      <c r="A35" s="19">
        <v>2026.0</v>
      </c>
      <c r="B35" s="20">
        <v>239967.749</v>
      </c>
      <c r="C35" s="27">
        <f t="shared" si="1"/>
        <v>239967749</v>
      </c>
      <c r="D35" s="28">
        <v>64.5742070428681</v>
      </c>
      <c r="E35" s="28">
        <f t="shared" si="2"/>
        <v>85010477.92</v>
      </c>
      <c r="F35" s="28">
        <f t="shared" si="3"/>
        <v>154957271.1</v>
      </c>
      <c r="G35" s="27">
        <f t="shared" ref="G35:G69" si="16">G34+(G34*J35)</f>
        <v>5.567444212</v>
      </c>
      <c r="H35" s="27">
        <f t="shared" ref="H35:H69" si="17">H34+(H34*J35)</f>
        <v>5.965118798</v>
      </c>
      <c r="I35" s="27">
        <f t="shared" ref="I35:I69" si="18">I34+(I34*J35)</f>
        <v>4.871513685</v>
      </c>
      <c r="J35" s="66">
        <v>-0.00581353359087855</v>
      </c>
      <c r="K35" s="50">
        <f t="shared" si="11"/>
        <v>43101958.43</v>
      </c>
      <c r="L35" s="50">
        <f t="shared" ref="L35:M35" si="12">E35/H35</f>
        <v>14251263.18</v>
      </c>
      <c r="M35" s="50">
        <f t="shared" si="12"/>
        <v>31808854.72</v>
      </c>
      <c r="N35" s="63">
        <f t="shared" ref="N35:N69" si="20">N34+(N34*O35)</f>
        <v>590723421878</v>
      </c>
      <c r="O35" s="27">
        <v>0.05</v>
      </c>
      <c r="P35" s="27">
        <f t="shared" si="4"/>
        <v>2461.678389</v>
      </c>
      <c r="Q35" s="63">
        <f t="shared" si="13"/>
        <v>86595.14098</v>
      </c>
      <c r="R35" s="31">
        <f t="shared" si="14"/>
        <v>0.05</v>
      </c>
      <c r="S35" s="27">
        <f t="shared" si="5"/>
        <v>360861.5797</v>
      </c>
      <c r="U35" s="31">
        <f t="shared" ref="U35:U69" si="21">U34+(U34*V35)</f>
        <v>2031433906346</v>
      </c>
      <c r="V35" s="27">
        <v>0.05</v>
      </c>
      <c r="W35" s="27">
        <f t="shared" si="6"/>
        <v>8465.445523</v>
      </c>
      <c r="X35" s="65">
        <f t="shared" si="15"/>
        <v>69.20047165</v>
      </c>
      <c r="Y35" s="65">
        <f>IF(100/(1+EXP(-('Access Projection Model'!$T$64+'Access Projection Model'!$T$61*(A35-2024))))&gt;=100*'Access Projection Model'!$T$62,100,100/(1+EXP(-('Access Projection Model'!$T$64+'Access Projection Model'!$T$61*(A35-2024)))))</f>
        <v>32.19342554</v>
      </c>
      <c r="Z35" s="65">
        <f>IF(100/(1+EXP(-('Access Projection Model'!$T$63+'Access Projection Model'!$T$60*(A35-2024))))&gt;=100*'Access Projection Model'!$T$62,100,100/(1+EXP(-('Access Projection Model'!$T$63+'Access Projection Model'!$T$60*(A35-2024)))))</f>
        <v>89.50275662</v>
      </c>
    </row>
    <row r="36" ht="15.0" customHeight="1">
      <c r="A36" s="19">
        <v>2027.0</v>
      </c>
      <c r="B36" s="20">
        <v>244895.915</v>
      </c>
      <c r="C36" s="27">
        <f t="shared" si="1"/>
        <v>244895915</v>
      </c>
      <c r="D36" s="28">
        <v>65.3719138046787</v>
      </c>
      <c r="E36" s="28">
        <f t="shared" si="2"/>
        <v>84802768.54</v>
      </c>
      <c r="F36" s="28">
        <f t="shared" si="3"/>
        <v>160093146.5</v>
      </c>
      <c r="G36" s="27">
        <f t="shared" si="16"/>
        <v>5.535077688</v>
      </c>
      <c r="H36" s="27">
        <f t="shared" si="17"/>
        <v>5.93044038</v>
      </c>
      <c r="I36" s="27">
        <f t="shared" si="18"/>
        <v>4.843192977</v>
      </c>
      <c r="J36" s="66">
        <v>-0.00581353359087855</v>
      </c>
      <c r="K36" s="50">
        <f t="shared" si="11"/>
        <v>44244350.09</v>
      </c>
      <c r="L36" s="50">
        <f t="shared" ref="L36:M36" si="19">E36/H36</f>
        <v>14299573.57</v>
      </c>
      <c r="M36" s="50">
        <f t="shared" si="19"/>
        <v>33055289.6</v>
      </c>
      <c r="N36" s="63">
        <f t="shared" si="20"/>
        <v>620259592972</v>
      </c>
      <c r="O36" s="27">
        <v>0.05</v>
      </c>
      <c r="P36" s="27">
        <f t="shared" si="4"/>
        <v>2532.747812</v>
      </c>
      <c r="Q36" s="63">
        <f t="shared" si="13"/>
        <v>90924.89802</v>
      </c>
      <c r="R36" s="31">
        <f t="shared" si="14"/>
        <v>0.05</v>
      </c>
      <c r="S36" s="27">
        <f t="shared" si="5"/>
        <v>371279.766</v>
      </c>
      <c r="U36" s="31">
        <f t="shared" si="21"/>
        <v>2133005601663</v>
      </c>
      <c r="V36" s="27">
        <v>0.05</v>
      </c>
      <c r="W36" s="27">
        <f t="shared" si="6"/>
        <v>8709.845575</v>
      </c>
      <c r="X36" s="65">
        <f t="shared" si="15"/>
        <v>72.41543647</v>
      </c>
      <c r="Y36" s="65">
        <f>IF(100/(1+EXP(-('Access Projection Model'!$T$64+'Access Projection Model'!$T$61*(A36-2024))))&gt;=100*'Access Projection Model'!$T$62,100,100/(1+EXP(-('Access Projection Model'!$T$64+'Access Projection Model'!$T$61*(A36-2024)))))</f>
        <v>37.11701346</v>
      </c>
      <c r="Z36" s="65">
        <f>IF(100/(1+EXP(-('Access Projection Model'!$T$63+'Access Projection Model'!$T$60*(A36-2024))))&gt;=100*'Access Projection Model'!$T$62,100,100/(1+EXP(-('Access Projection Model'!$T$63+'Access Projection Model'!$T$60*(A36-2024)))))</f>
        <v>91.11332618</v>
      </c>
    </row>
    <row r="37" ht="15.0" customHeight="1">
      <c r="A37" s="19">
        <v>2028.0</v>
      </c>
      <c r="B37" s="20">
        <v>249852.61</v>
      </c>
      <c r="C37" s="27">
        <f t="shared" si="1"/>
        <v>249852610</v>
      </c>
      <c r="D37" s="28">
        <v>66.1685175912888</v>
      </c>
      <c r="E37" s="28">
        <f t="shared" si="2"/>
        <v>84528841.8</v>
      </c>
      <c r="F37" s="28">
        <f t="shared" si="3"/>
        <v>165323768.2</v>
      </c>
      <c r="G37" s="27">
        <f t="shared" si="16"/>
        <v>5.502899328</v>
      </c>
      <c r="H37" s="27">
        <f t="shared" si="17"/>
        <v>5.895963566</v>
      </c>
      <c r="I37" s="27">
        <f t="shared" si="18"/>
        <v>4.815036912</v>
      </c>
      <c r="J37" s="66">
        <v>-0.00581353359087855</v>
      </c>
      <c r="K37" s="50">
        <f t="shared" si="11"/>
        <v>45403812.63</v>
      </c>
      <c r="L37" s="50">
        <f t="shared" ref="L37:M37" si="22">E37/H37</f>
        <v>14336730.69</v>
      </c>
      <c r="M37" s="50">
        <f t="shared" si="22"/>
        <v>34334891.14</v>
      </c>
      <c r="N37" s="63">
        <f t="shared" si="20"/>
        <v>651272572621</v>
      </c>
      <c r="O37" s="27">
        <v>0.05</v>
      </c>
      <c r="P37" s="27">
        <f t="shared" si="4"/>
        <v>2606.627054</v>
      </c>
      <c r="Q37" s="63">
        <f t="shared" si="13"/>
        <v>95471.14293</v>
      </c>
      <c r="R37" s="31">
        <f t="shared" si="14"/>
        <v>0.05</v>
      </c>
      <c r="S37" s="27">
        <f t="shared" si="5"/>
        <v>382109.8484</v>
      </c>
      <c r="U37" s="31">
        <f t="shared" si="21"/>
        <v>2239655881746</v>
      </c>
      <c r="V37" s="27">
        <v>0.05</v>
      </c>
      <c r="W37" s="27">
        <f t="shared" si="6"/>
        <v>8963.908289</v>
      </c>
      <c r="X37" s="65">
        <f t="shared" si="15"/>
        <v>75.52292569</v>
      </c>
      <c r="Y37" s="65">
        <f>IF(100/(1+EXP(-('Access Projection Model'!$T$64+'Access Projection Model'!$T$61*(A37-2024))))&gt;=100*'Access Projection Model'!$T$62,100,100/(1+EXP(-('Access Projection Model'!$T$64+'Access Projection Model'!$T$61*(A37-2024)))))</f>
        <v>42.32359369</v>
      </c>
      <c r="Z37" s="65">
        <f>IF(100/(1+EXP(-('Access Projection Model'!$T$63+'Access Projection Model'!$T$60*(A37-2024))))&gt;=100*'Access Projection Model'!$T$62,100,100/(1+EXP(-('Access Projection Model'!$T$63+'Access Projection Model'!$T$60*(A37-2024)))))</f>
        <v>92.49750298</v>
      </c>
    </row>
    <row r="38" ht="15.0" customHeight="1">
      <c r="A38" s="19">
        <v>2029.0</v>
      </c>
      <c r="B38" s="20">
        <v>254839.645</v>
      </c>
      <c r="C38" s="27">
        <f t="shared" si="1"/>
        <v>254839645</v>
      </c>
      <c r="D38" s="28">
        <v>66.9639976617684</v>
      </c>
      <c r="E38" s="28">
        <f t="shared" si="2"/>
        <v>84188831.08</v>
      </c>
      <c r="F38" s="28">
        <f t="shared" si="3"/>
        <v>170650813.9</v>
      </c>
      <c r="G38" s="27">
        <f t="shared" si="16"/>
        <v>5.470908038</v>
      </c>
      <c r="H38" s="27">
        <f t="shared" si="17"/>
        <v>5.861687183</v>
      </c>
      <c r="I38" s="27">
        <f t="shared" si="18"/>
        <v>4.787044533</v>
      </c>
      <c r="J38" s="66">
        <v>-0.00581353359087855</v>
      </c>
      <c r="K38" s="50">
        <f t="shared" si="11"/>
        <v>46580867.97</v>
      </c>
      <c r="L38" s="50">
        <f t="shared" ref="L38:M38" si="23">E38/H38</f>
        <v>14362559.52</v>
      </c>
      <c r="M38" s="50">
        <f t="shared" si="23"/>
        <v>35648470.1</v>
      </c>
      <c r="N38" s="63">
        <f t="shared" si="20"/>
        <v>683836201252</v>
      </c>
      <c r="O38" s="27">
        <v>0.05</v>
      </c>
      <c r="P38" s="27">
        <f t="shared" si="4"/>
        <v>2683.39803</v>
      </c>
      <c r="Q38" s="63">
        <f t="shared" si="13"/>
        <v>100244.7001</v>
      </c>
      <c r="R38" s="31">
        <f t="shared" si="14"/>
        <v>0.05</v>
      </c>
      <c r="S38" s="27">
        <f t="shared" si="5"/>
        <v>393363.835</v>
      </c>
      <c r="U38" s="31">
        <f t="shared" si="21"/>
        <v>2351638675833</v>
      </c>
      <c r="V38" s="27">
        <v>0.05</v>
      </c>
      <c r="W38" s="27">
        <f t="shared" si="6"/>
        <v>9227.915365</v>
      </c>
      <c r="X38" s="65">
        <f t="shared" si="15"/>
        <v>78.49286681</v>
      </c>
      <c r="Y38" s="65">
        <f>IF(100/(1+EXP(-('Access Projection Model'!$T$64+'Access Projection Model'!$T$61*(A38-2024))))&gt;=100*'Access Projection Model'!$T$62,100,100/(1+EXP(-('Access Projection Model'!$T$64+'Access Projection Model'!$T$61*(A38-2024)))))</f>
        <v>47.70644127</v>
      </c>
      <c r="Z38" s="65">
        <f>IF(100/(1+EXP(-('Access Projection Model'!$T$63+'Access Projection Model'!$T$60*(A38-2024))))&gt;=100*'Access Projection Model'!$T$62,100,100/(1+EXP(-('Access Projection Model'!$T$63+'Access Projection Model'!$T$60*(A38-2024)))))</f>
        <v>93.6810345</v>
      </c>
    </row>
    <row r="39" ht="15.0" customHeight="1">
      <c r="A39" s="19">
        <v>2030.0</v>
      </c>
      <c r="B39" s="20">
        <v>259865.631</v>
      </c>
      <c r="C39" s="27">
        <f t="shared" si="1"/>
        <v>259865631</v>
      </c>
      <c r="D39" s="28">
        <v>67.7583332751875</v>
      </c>
      <c r="E39" s="28">
        <f t="shared" si="2"/>
        <v>83785010.68</v>
      </c>
      <c r="F39" s="28">
        <f t="shared" si="3"/>
        <v>176080620.3</v>
      </c>
      <c r="G39" s="27">
        <f t="shared" si="16"/>
        <v>5.43910273</v>
      </c>
      <c r="H39" s="27">
        <f t="shared" si="17"/>
        <v>5.827610068</v>
      </c>
      <c r="I39" s="27">
        <f t="shared" si="18"/>
        <v>4.759214889</v>
      </c>
      <c r="J39" s="66">
        <v>-0.00581353359087855</v>
      </c>
      <c r="K39" s="50">
        <f t="shared" si="11"/>
        <v>47777297.82</v>
      </c>
      <c r="L39" s="50">
        <f t="shared" ref="L39:M39" si="24">E39/H39</f>
        <v>14377250.66</v>
      </c>
      <c r="M39" s="50">
        <f t="shared" si="24"/>
        <v>36997829.35</v>
      </c>
      <c r="N39" s="63">
        <f t="shared" si="20"/>
        <v>718028011314</v>
      </c>
      <c r="O39" s="27">
        <v>0.05</v>
      </c>
      <c r="P39" s="27">
        <f t="shared" si="4"/>
        <v>2763.074165</v>
      </c>
      <c r="Q39" s="63">
        <f t="shared" si="13"/>
        <v>105256.9351</v>
      </c>
      <c r="R39" s="31">
        <f t="shared" si="14"/>
        <v>0.05</v>
      </c>
      <c r="S39" s="27">
        <f t="shared" si="5"/>
        <v>405043.6938</v>
      </c>
      <c r="U39" s="31">
        <f t="shared" si="21"/>
        <v>2469220609625</v>
      </c>
      <c r="V39" s="27">
        <v>0.05</v>
      </c>
      <c r="W39" s="27">
        <f t="shared" si="6"/>
        <v>9501.91297</v>
      </c>
      <c r="X39" s="65">
        <f t="shared" si="15"/>
        <v>81.29362622</v>
      </c>
      <c r="Y39" s="65">
        <f>IF(100/(1+EXP(-('Access Projection Model'!$T$64+'Access Projection Model'!$T$61*(A39-2024))))&gt;=100*'Access Projection Model'!$T$62,100,100/(1+EXP(-('Access Projection Model'!$T$64+'Access Projection Model'!$T$61*(A39-2024)))))</f>
        <v>53.14309831</v>
      </c>
      <c r="Z39" s="65">
        <f>IF(100/(1+EXP(-('Access Projection Model'!$T$63+'Access Projection Model'!$T$60*(A39-2024))))&gt;=100*'Access Projection Model'!$T$62,100,100/(1+EXP(-('Access Projection Model'!$T$63+'Access Projection Model'!$T$60*(A39-2024)))))</f>
        <v>94.68858291</v>
      </c>
    </row>
    <row r="40" ht="15.0" customHeight="1">
      <c r="A40" s="19">
        <v>2031.0</v>
      </c>
      <c r="B40" s="20">
        <v>264896.308</v>
      </c>
      <c r="C40" s="27">
        <f t="shared" si="1"/>
        <v>264896308</v>
      </c>
      <c r="D40" s="28">
        <v>68.551503690616</v>
      </c>
      <c r="E40" s="28">
        <f t="shared" si="2"/>
        <v>83305905.65</v>
      </c>
      <c r="F40" s="28">
        <f t="shared" si="3"/>
        <v>181590402.4</v>
      </c>
      <c r="G40" s="27">
        <f t="shared" si="16"/>
        <v>5.407482324</v>
      </c>
      <c r="H40" s="27">
        <f t="shared" si="17"/>
        <v>5.793731061</v>
      </c>
      <c r="I40" s="27">
        <f t="shared" si="18"/>
        <v>4.731547033</v>
      </c>
      <c r="J40" s="66">
        <v>-0.00581353359087855</v>
      </c>
      <c r="K40" s="50">
        <f t="shared" si="11"/>
        <v>48986994.71</v>
      </c>
      <c r="L40" s="50">
        <f t="shared" ref="L40:M40" si="25">E40/H40</f>
        <v>14378628.34</v>
      </c>
      <c r="M40" s="50">
        <f t="shared" si="25"/>
        <v>38378653.13</v>
      </c>
      <c r="N40" s="63">
        <f t="shared" si="20"/>
        <v>753929411880</v>
      </c>
      <c r="O40" s="27">
        <v>0.05</v>
      </c>
      <c r="P40" s="27">
        <f t="shared" si="4"/>
        <v>2846.130313</v>
      </c>
      <c r="Q40" s="63">
        <f t="shared" si="13"/>
        <v>110519.7818</v>
      </c>
      <c r="R40" s="31">
        <f t="shared" si="14"/>
        <v>0.05</v>
      </c>
      <c r="S40" s="27">
        <f t="shared" si="5"/>
        <v>417219.0344</v>
      </c>
      <c r="U40" s="31">
        <f t="shared" si="21"/>
        <v>2592681640106</v>
      </c>
      <c r="V40" s="27">
        <v>0.05</v>
      </c>
      <c r="W40" s="27">
        <f t="shared" si="6"/>
        <v>9787.534072</v>
      </c>
      <c r="X40" s="65">
        <f t="shared" si="15"/>
        <v>83.89555142</v>
      </c>
      <c r="Y40" s="65">
        <f>IF(100/(1+EXP(-('Access Projection Model'!$T$64+'Access Projection Model'!$T$61*(A40-2024))))&gt;=100*'Access Projection Model'!$T$62,100,100/(1+EXP(-('Access Projection Model'!$T$64+'Access Projection Model'!$T$61*(A40-2024)))))</f>
        <v>58.50614966</v>
      </c>
      <c r="Z40" s="65">
        <f>IF(100/(1+EXP(-('Access Projection Model'!$T$63+'Access Projection Model'!$T$60*(A40-2024))))&gt;=100*'Access Projection Model'!$T$62,100,100/(1+EXP(-('Access Projection Model'!$T$63+'Access Projection Model'!$T$60*(A40-2024)))))</f>
        <v>95.54312243</v>
      </c>
    </row>
    <row r="41" ht="15.0" customHeight="1">
      <c r="A41" s="19">
        <v>2032.0</v>
      </c>
      <c r="B41" s="20">
        <v>269945.841</v>
      </c>
      <c r="C41" s="27">
        <f t="shared" si="1"/>
        <v>269945841</v>
      </c>
      <c r="D41" s="28">
        <v>69.3434881671238</v>
      </c>
      <c r="E41" s="28">
        <f t="shared" si="2"/>
        <v>82755978.69</v>
      </c>
      <c r="F41" s="28">
        <f t="shared" si="3"/>
        <v>187189862.3</v>
      </c>
      <c r="G41" s="27">
        <f t="shared" si="16"/>
        <v>5.376045744</v>
      </c>
      <c r="H41" s="27">
        <f t="shared" si="17"/>
        <v>5.760049011</v>
      </c>
      <c r="I41" s="27">
        <f t="shared" si="18"/>
        <v>4.704040026</v>
      </c>
      <c r="J41" s="66">
        <v>-0.00581353359087855</v>
      </c>
      <c r="K41" s="50">
        <f t="shared" si="11"/>
        <v>50212712.81</v>
      </c>
      <c r="L41" s="50">
        <f t="shared" ref="L41:M41" si="26">E41/H41</f>
        <v>14367235.16</v>
      </c>
      <c r="M41" s="50">
        <f t="shared" si="26"/>
        <v>39793424.65</v>
      </c>
      <c r="N41" s="63">
        <f t="shared" si="20"/>
        <v>791625882474</v>
      </c>
      <c r="O41" s="27">
        <v>0.05</v>
      </c>
      <c r="P41" s="27">
        <f t="shared" si="4"/>
        <v>2932.535947</v>
      </c>
      <c r="Q41" s="63">
        <f t="shared" si="13"/>
        <v>116045.7709</v>
      </c>
      <c r="R41" s="31">
        <f t="shared" si="14"/>
        <v>0.05</v>
      </c>
      <c r="S41" s="27">
        <f t="shared" si="5"/>
        <v>429885.3818</v>
      </c>
      <c r="U41" s="31">
        <f t="shared" si="21"/>
        <v>2722315722111</v>
      </c>
      <c r="V41" s="27">
        <v>0.05</v>
      </c>
      <c r="W41" s="27">
        <f t="shared" si="6"/>
        <v>10084.6737</v>
      </c>
      <c r="X41" s="65">
        <f t="shared" si="15"/>
        <v>86.27444113</v>
      </c>
      <c r="Y41" s="65">
        <f>IF(100/(1+EXP(-('Access Projection Model'!$T$64+'Access Projection Model'!$T$61*(A41-2024))))&gt;=100*'Access Projection Model'!$T$62,100,100/(1+EXP(-('Access Projection Model'!$T$64+'Access Projection Model'!$T$61*(A41-2024)))))</f>
        <v>63.67494301</v>
      </c>
      <c r="Z41" s="65">
        <f>IF(100/(1+EXP(-('Access Projection Model'!$T$63+'Access Projection Model'!$T$60*(A41-2024))))&gt;=100*'Access Projection Model'!$T$62,100,100/(1+EXP(-('Access Projection Model'!$T$63+'Access Projection Model'!$T$60*(A41-2024)))))</f>
        <v>96.26559963</v>
      </c>
    </row>
    <row r="42" ht="15.0" customHeight="1">
      <c r="A42" s="19">
        <v>2033.0</v>
      </c>
      <c r="B42" s="20">
        <v>275021.443</v>
      </c>
      <c r="C42" s="27">
        <f t="shared" si="1"/>
        <v>275021443</v>
      </c>
      <c r="D42" s="28">
        <v>70.1342659637808</v>
      </c>
      <c r="E42" s="28">
        <f t="shared" si="2"/>
        <v>82137172.71</v>
      </c>
      <c r="F42" s="28">
        <f t="shared" si="3"/>
        <v>192884270.3</v>
      </c>
      <c r="G42" s="27">
        <f t="shared" si="16"/>
        <v>5.344791921</v>
      </c>
      <c r="H42" s="27">
        <f t="shared" si="17"/>
        <v>5.726562773</v>
      </c>
      <c r="I42" s="27">
        <f t="shared" si="18"/>
        <v>4.676692931</v>
      </c>
      <c r="J42" s="66">
        <v>-0.00581353359087855</v>
      </c>
      <c r="K42" s="50">
        <f t="shared" si="11"/>
        <v>51455968.18</v>
      </c>
      <c r="L42" s="50">
        <f t="shared" ref="L42:M42" si="27">E42/H42</f>
        <v>14343189.09</v>
      </c>
      <c r="M42" s="50">
        <f t="shared" si="27"/>
        <v>41243732.09</v>
      </c>
      <c r="N42" s="63">
        <f t="shared" si="20"/>
        <v>831207176598</v>
      </c>
      <c r="O42" s="27">
        <v>0.05</v>
      </c>
      <c r="P42" s="27">
        <f t="shared" si="4"/>
        <v>3022.335886</v>
      </c>
      <c r="Q42" s="63">
        <f t="shared" si="13"/>
        <v>121848.0595</v>
      </c>
      <c r="R42" s="31">
        <f t="shared" si="14"/>
        <v>0.05</v>
      </c>
      <c r="S42" s="27">
        <f t="shared" si="5"/>
        <v>443049.306</v>
      </c>
      <c r="U42" s="31">
        <f t="shared" si="21"/>
        <v>2858431508217</v>
      </c>
      <c r="V42" s="27">
        <v>0.05</v>
      </c>
      <c r="W42" s="27">
        <f t="shared" si="6"/>
        <v>10393.48597</v>
      </c>
      <c r="X42" s="65">
        <f t="shared" si="15"/>
        <v>88.41419735</v>
      </c>
      <c r="Y42" s="65">
        <f>IF(100/(1+EXP(-('Access Projection Model'!$T$64+'Access Projection Model'!$T$61*(A42-2024))))&gt;=100*'Access Projection Model'!$T$62,100,100/(1+EXP(-('Access Projection Model'!$T$64+'Access Projection Model'!$T$61*(A42-2024)))))</f>
        <v>68.54602511</v>
      </c>
      <c r="Z42" s="65">
        <f>IF(100/(1+EXP(-('Access Projection Model'!$T$63+'Access Projection Model'!$T$60*(A42-2024))))&gt;=100*'Access Projection Model'!$T$62,100,100/(1+EXP(-('Access Projection Model'!$T$63+'Access Projection Model'!$T$60*(A42-2024)))))</f>
        <v>96.87479132</v>
      </c>
    </row>
    <row r="43" ht="15.0" customHeight="1">
      <c r="A43" s="19">
        <v>2034.0</v>
      </c>
      <c r="B43" s="20">
        <v>280088.787</v>
      </c>
      <c r="C43" s="27">
        <f t="shared" si="1"/>
        <v>280088787</v>
      </c>
      <c r="D43" s="28">
        <v>70.923816339657</v>
      </c>
      <c r="E43" s="28">
        <f t="shared" si="2"/>
        <v>81439130.12</v>
      </c>
      <c r="F43" s="28">
        <f t="shared" si="3"/>
        <v>198649656.9</v>
      </c>
      <c r="G43" s="27">
        <f t="shared" si="16"/>
        <v>5.313719794</v>
      </c>
      <c r="H43" s="27">
        <f t="shared" si="17"/>
        <v>5.693271208</v>
      </c>
      <c r="I43" s="27">
        <f t="shared" si="18"/>
        <v>4.649504819</v>
      </c>
      <c r="J43" s="66">
        <v>-0.00581353359087855</v>
      </c>
      <c r="K43" s="50">
        <f t="shared" si="11"/>
        <v>52710492.44</v>
      </c>
      <c r="L43" s="50">
        <f t="shared" ref="L43:M43" si="28">E43/H43</f>
        <v>14304452.95</v>
      </c>
      <c r="M43" s="50">
        <f t="shared" si="28"/>
        <v>42724906.11</v>
      </c>
      <c r="N43" s="63">
        <f t="shared" si="20"/>
        <v>872767535428</v>
      </c>
      <c r="O43" s="27">
        <v>0.05</v>
      </c>
      <c r="P43" s="27">
        <f t="shared" si="4"/>
        <v>3116.038827</v>
      </c>
      <c r="Q43" s="63">
        <f t="shared" si="13"/>
        <v>127940.4624</v>
      </c>
      <c r="R43" s="31">
        <f t="shared" si="14"/>
        <v>0.05</v>
      </c>
      <c r="S43" s="27">
        <f t="shared" si="5"/>
        <v>456785.378</v>
      </c>
      <c r="U43" s="31">
        <f t="shared" si="21"/>
        <v>3001353083628</v>
      </c>
      <c r="V43" s="27">
        <v>0.05</v>
      </c>
      <c r="W43" s="27">
        <f t="shared" si="6"/>
        <v>10715.72024</v>
      </c>
      <c r="X43" s="65">
        <f t="shared" si="15"/>
        <v>90.30817274</v>
      </c>
      <c r="Y43" s="65">
        <f>IF(100/(1+EXP(-('Access Projection Model'!$T$64+'Access Projection Model'!$T$61*(A43-2024))))&gt;=100*'Access Projection Model'!$T$62,100,100/(1+EXP(-('Access Projection Model'!$T$64+'Access Projection Model'!$T$61*(A43-2024)))))</f>
        <v>73.04046894</v>
      </c>
      <c r="Z43" s="65">
        <f>IF(100/(1+EXP(-('Access Projection Model'!$T$63+'Access Projection Model'!$T$60*(A43-2024))))&gt;=100*'Access Projection Model'!$T$62,100,100/(1+EXP(-('Access Projection Model'!$T$63+'Access Projection Model'!$T$60*(A43-2024)))))</f>
        <v>97.3873029</v>
      </c>
    </row>
    <row r="44" ht="15.0" customHeight="1">
      <c r="A44" s="19">
        <v>2035.0</v>
      </c>
      <c r="B44" s="20">
        <v>285156.007</v>
      </c>
      <c r="C44" s="27">
        <f t="shared" si="1"/>
        <v>285156007</v>
      </c>
      <c r="D44" s="28">
        <v>71.7121185538222</v>
      </c>
      <c r="E44" s="28">
        <f t="shared" si="2"/>
        <v>80664593.2</v>
      </c>
      <c r="F44" s="28">
        <f t="shared" si="3"/>
        <v>204491413.8</v>
      </c>
      <c r="G44" s="27">
        <f t="shared" si="16"/>
        <v>5.282828305</v>
      </c>
      <c r="H44" s="27">
        <f t="shared" si="17"/>
        <v>5.660173184</v>
      </c>
      <c r="I44" s="27">
        <f t="shared" si="18"/>
        <v>4.622474767</v>
      </c>
      <c r="J44" s="66">
        <v>-0.00581353359087855</v>
      </c>
      <c r="K44" s="50">
        <f t="shared" si="11"/>
        <v>53977905.49</v>
      </c>
      <c r="L44" s="50">
        <f t="shared" ref="L44:M44" si="29">E44/H44</f>
        <v>14251258.85</v>
      </c>
      <c r="M44" s="50">
        <f t="shared" si="29"/>
        <v>44238513.81</v>
      </c>
      <c r="N44" s="63">
        <f t="shared" si="20"/>
        <v>916405912199</v>
      </c>
      <c r="O44" s="27">
        <v>0.05</v>
      </c>
      <c r="P44" s="27">
        <f t="shared" si="4"/>
        <v>3213.700184</v>
      </c>
      <c r="Q44" s="63">
        <f t="shared" si="13"/>
        <v>134337.4856</v>
      </c>
      <c r="R44" s="31">
        <f t="shared" si="14"/>
        <v>0.05</v>
      </c>
      <c r="S44" s="27">
        <f t="shared" si="5"/>
        <v>471101.7207</v>
      </c>
      <c r="U44" s="31">
        <f t="shared" si="21"/>
        <v>3151420737809</v>
      </c>
      <c r="V44" s="27">
        <v>0.05</v>
      </c>
      <c r="W44" s="27">
        <f t="shared" si="6"/>
        <v>11051.56707</v>
      </c>
      <c r="X44" s="65">
        <f t="shared" si="15"/>
        <v>91.95910571</v>
      </c>
      <c r="Y44" s="65">
        <f>IF(100/(1+EXP(-('Access Projection Model'!$T$64+'Access Projection Model'!$T$61*(A44-2024))))&gt;=100*'Access Projection Model'!$T$62,100,100/(1+EXP(-('Access Projection Model'!$T$64+'Access Projection Model'!$T$61*(A44-2024)))))</f>
        <v>77.10718698</v>
      </c>
      <c r="Z44" s="65">
        <f>IF(100/(1+EXP(-('Access Projection Model'!$T$63+'Access Projection Model'!$T$60*(A44-2024))))&gt;=100*'Access Projection Model'!$T$62,100,100/(1+EXP(-('Access Projection Model'!$T$63+'Access Projection Model'!$T$60*(A44-2024)))))</f>
        <v>97.81765968</v>
      </c>
    </row>
    <row r="45" ht="15.0" customHeight="1">
      <c r="A45" s="19">
        <v>2036.0</v>
      </c>
      <c r="B45" s="20">
        <v>290215.518</v>
      </c>
      <c r="C45" s="27">
        <f t="shared" si="1"/>
        <v>290215518</v>
      </c>
      <c r="D45" s="28">
        <v>72.4991518653464</v>
      </c>
      <c r="E45" s="28">
        <f t="shared" si="2"/>
        <v>79811728.87</v>
      </c>
      <c r="F45" s="28">
        <f t="shared" si="3"/>
        <v>210403789.1</v>
      </c>
      <c r="G45" s="27">
        <f t="shared" si="16"/>
        <v>5.252116405</v>
      </c>
      <c r="H45" s="27">
        <f t="shared" si="17"/>
        <v>5.627267577</v>
      </c>
      <c r="I45" s="27">
        <f t="shared" si="18"/>
        <v>4.595601855</v>
      </c>
      <c r="J45" s="66">
        <v>-0.00581353359087855</v>
      </c>
      <c r="K45" s="50">
        <f t="shared" si="11"/>
        <v>55256870.87</v>
      </c>
      <c r="L45" s="50">
        <f t="shared" ref="L45:M45" si="30">E45/H45</f>
        <v>14183034.27</v>
      </c>
      <c r="M45" s="50">
        <f t="shared" si="30"/>
        <v>45783728.83</v>
      </c>
      <c r="N45" s="63">
        <f t="shared" si="20"/>
        <v>962226207809</v>
      </c>
      <c r="O45" s="27">
        <v>0.05</v>
      </c>
      <c r="P45" s="27">
        <f t="shared" si="4"/>
        <v>3315.557398</v>
      </c>
      <c r="Q45" s="63">
        <f t="shared" si="13"/>
        <v>141054.3598</v>
      </c>
      <c r="R45" s="31">
        <f t="shared" si="14"/>
        <v>0.05</v>
      </c>
      <c r="S45" s="27">
        <f t="shared" si="5"/>
        <v>486033.1412</v>
      </c>
      <c r="U45" s="31">
        <f t="shared" si="21"/>
        <v>3308991774700</v>
      </c>
      <c r="V45" s="27">
        <v>0.05</v>
      </c>
      <c r="W45" s="27">
        <f t="shared" si="6"/>
        <v>11401.84301</v>
      </c>
      <c r="X45" s="65">
        <f t="shared" si="15"/>
        <v>93.37788278</v>
      </c>
      <c r="Y45" s="65">
        <f>IF(100/(1+EXP(-('Access Projection Model'!$T$64+'Access Projection Model'!$T$61*(A45-2024))))&gt;=100*'Access Projection Model'!$T$62,100,100/(1+EXP(-('Access Projection Model'!$T$64+'Access Projection Model'!$T$61*(A45-2024)))))</f>
        <v>80.72236691</v>
      </c>
      <c r="Z45" s="65">
        <f>IF(100/(1+EXP(-('Access Projection Model'!$T$63+'Access Projection Model'!$T$60*(A45-2024))))&gt;=100*'Access Projection Model'!$T$62,100,100/(1+EXP(-('Access Projection Model'!$T$63+'Access Projection Model'!$T$60*(A45-2024)))))</f>
        <v>98.17845508</v>
      </c>
    </row>
    <row r="46" ht="15.0" customHeight="1">
      <c r="A46" s="19">
        <v>2037.0</v>
      </c>
      <c r="B46" s="20">
        <v>295263.274</v>
      </c>
      <c r="C46" s="27">
        <f t="shared" si="1"/>
        <v>295263274</v>
      </c>
      <c r="D46" s="28">
        <v>73.2848955332995</v>
      </c>
      <c r="E46" s="28">
        <f t="shared" si="2"/>
        <v>78879892.1</v>
      </c>
      <c r="F46" s="28">
        <f t="shared" si="3"/>
        <v>216383381.9</v>
      </c>
      <c r="G46" s="27">
        <f t="shared" si="16"/>
        <v>5.22158305</v>
      </c>
      <c r="H46" s="27">
        <f t="shared" si="17"/>
        <v>5.594553268</v>
      </c>
      <c r="I46" s="27">
        <f t="shared" si="18"/>
        <v>4.568885169</v>
      </c>
      <c r="J46" s="66">
        <v>-0.00581353359087855</v>
      </c>
      <c r="K46" s="50">
        <f t="shared" si="11"/>
        <v>56546696.88</v>
      </c>
      <c r="L46" s="50">
        <f t="shared" ref="L46:M46" si="31">E46/H46</f>
        <v>14099408.54</v>
      </c>
      <c r="M46" s="50">
        <f t="shared" si="31"/>
        <v>47360214.56</v>
      </c>
      <c r="N46" s="63">
        <f t="shared" si="20"/>
        <v>1010337518199</v>
      </c>
      <c r="O46" s="27">
        <v>0.05</v>
      </c>
      <c r="P46" s="27">
        <f t="shared" si="4"/>
        <v>3421.819126</v>
      </c>
      <c r="Q46" s="63">
        <f t="shared" si="13"/>
        <v>148107.0778</v>
      </c>
      <c r="R46" s="31">
        <f t="shared" si="14"/>
        <v>0.05</v>
      </c>
      <c r="S46" s="27">
        <f t="shared" si="5"/>
        <v>501610.2268</v>
      </c>
      <c r="U46" s="31">
        <f t="shared" si="21"/>
        <v>3474441363435</v>
      </c>
      <c r="V46" s="27">
        <v>0.05</v>
      </c>
      <c r="W46" s="27">
        <f t="shared" si="6"/>
        <v>11767.26559</v>
      </c>
      <c r="X46" s="65">
        <f t="shared" si="15"/>
        <v>94.58157277</v>
      </c>
      <c r="Y46" s="65">
        <f>IF(100/(1+EXP(-('Access Projection Model'!$T$64+'Access Projection Model'!$T$61*(A46-2024))))&gt;=100*'Access Projection Model'!$T$62,100,100/(1+EXP(-('Access Projection Model'!$T$64+'Access Projection Model'!$T$61*(A46-2024)))))</f>
        <v>83.88595424</v>
      </c>
      <c r="Z46" s="65">
        <f>IF(100/(1+EXP(-('Access Projection Model'!$T$63+'Access Projection Model'!$T$60*(A46-2024))))&gt;=100*'Access Projection Model'!$T$62,100,100/(1+EXP(-('Access Projection Model'!$T$63+'Access Projection Model'!$T$60*(A46-2024)))))</f>
        <v>98.48052854</v>
      </c>
    </row>
    <row r="47" ht="15.0" customHeight="1">
      <c r="A47" s="19">
        <v>2038.0</v>
      </c>
      <c r="B47" s="20">
        <v>300283.214</v>
      </c>
      <c r="C47" s="27">
        <f t="shared" si="1"/>
        <v>300283214</v>
      </c>
      <c r="D47" s="28">
        <v>74.0693288167513</v>
      </c>
      <c r="E47" s="28">
        <f t="shared" si="2"/>
        <v>77865452.84</v>
      </c>
      <c r="F47" s="28">
        <f t="shared" si="3"/>
        <v>222417761.2</v>
      </c>
      <c r="G47" s="27">
        <f t="shared" si="16"/>
        <v>5.191227202</v>
      </c>
      <c r="H47" s="27">
        <f t="shared" si="17"/>
        <v>5.562029145</v>
      </c>
      <c r="I47" s="27">
        <f t="shared" si="18"/>
        <v>4.542323802</v>
      </c>
      <c r="J47" s="66">
        <v>-0.00581353359087855</v>
      </c>
      <c r="K47" s="50">
        <f t="shared" si="11"/>
        <v>57844359.79</v>
      </c>
      <c r="L47" s="50">
        <f t="shared" ref="L47:M47" si="32">E47/H47</f>
        <v>13999468.69</v>
      </c>
      <c r="M47" s="50">
        <f t="shared" si="32"/>
        <v>48965633.2</v>
      </c>
      <c r="N47" s="63">
        <f t="shared" si="20"/>
        <v>1060854394109</v>
      </c>
      <c r="O47" s="27">
        <v>0.05</v>
      </c>
      <c r="P47" s="27">
        <f t="shared" si="4"/>
        <v>3532.846142</v>
      </c>
      <c r="Q47" s="63">
        <f t="shared" si="13"/>
        <v>155512.4317</v>
      </c>
      <c r="R47" s="31">
        <f t="shared" si="14"/>
        <v>0.05</v>
      </c>
      <c r="S47" s="27">
        <f t="shared" si="5"/>
        <v>517885.864</v>
      </c>
      <c r="U47" s="31">
        <f t="shared" si="21"/>
        <v>3648163431606</v>
      </c>
      <c r="V47" s="27">
        <v>0.05</v>
      </c>
      <c r="W47" s="27">
        <f t="shared" si="6"/>
        <v>12149.07548</v>
      </c>
      <c r="X47" s="65">
        <f t="shared" si="15"/>
        <v>95.59121222</v>
      </c>
      <c r="Y47" s="65">
        <f>IF(100/(1+EXP(-('Access Projection Model'!$T$64+'Access Projection Model'!$T$61*(A47-2024))))&gt;=100*'Access Projection Model'!$T$62,100,100/(1+EXP(-('Access Projection Model'!$T$64+'Access Projection Model'!$T$61*(A47-2024)))))</f>
        <v>86.61645218</v>
      </c>
      <c r="Z47" s="65">
        <f>IF(100/(1+EXP(-('Access Projection Model'!$T$63+'Access Projection Model'!$T$60*(A47-2024))))&gt;=100*'Access Projection Model'!$T$62,100,100/(1+EXP(-('Access Projection Model'!$T$63+'Access Projection Model'!$T$60*(A47-2024)))))</f>
        <v>98.73315444</v>
      </c>
    </row>
    <row r="48" ht="15.0" customHeight="1">
      <c r="A48" s="19">
        <v>2039.0</v>
      </c>
      <c r="B48" s="20">
        <v>305281.503</v>
      </c>
      <c r="C48" s="27">
        <f t="shared" si="1"/>
        <v>305281503</v>
      </c>
      <c r="D48" s="28">
        <v>74.8524309747717</v>
      </c>
      <c r="E48" s="28">
        <f t="shared" si="2"/>
        <v>76770876.69</v>
      </c>
      <c r="F48" s="28">
        <f t="shared" si="3"/>
        <v>228510626.3</v>
      </c>
      <c r="G48" s="27">
        <f t="shared" si="16"/>
        <v>5.161047828</v>
      </c>
      <c r="H48" s="27">
        <f t="shared" si="17"/>
        <v>5.529694101</v>
      </c>
      <c r="I48" s="27">
        <f t="shared" si="18"/>
        <v>4.51591685</v>
      </c>
      <c r="J48" s="66">
        <v>-0.00581353359087855</v>
      </c>
      <c r="K48" s="50">
        <f t="shared" si="11"/>
        <v>59151070.32</v>
      </c>
      <c r="L48" s="50">
        <f t="shared" ref="L48:M48" si="33">E48/H48</f>
        <v>13883385.82</v>
      </c>
      <c r="M48" s="50">
        <f t="shared" si="33"/>
        <v>50601158.95</v>
      </c>
      <c r="N48" s="63">
        <f t="shared" si="20"/>
        <v>1113897113815</v>
      </c>
      <c r="O48" s="27">
        <v>0.05</v>
      </c>
      <c r="P48" s="27">
        <f t="shared" si="4"/>
        <v>3648.754028</v>
      </c>
      <c r="Q48" s="63">
        <f t="shared" si="13"/>
        <v>163288.0533</v>
      </c>
      <c r="R48" s="31">
        <f t="shared" si="14"/>
        <v>0.05</v>
      </c>
      <c r="S48" s="27">
        <f t="shared" si="5"/>
        <v>534876.9962</v>
      </c>
      <c r="U48" s="31">
        <f t="shared" si="21"/>
        <v>3830571603187</v>
      </c>
      <c r="V48" s="27">
        <v>0.05</v>
      </c>
      <c r="W48" s="27">
        <f t="shared" si="6"/>
        <v>12547.67015</v>
      </c>
      <c r="X48" s="65">
        <f t="shared" si="15"/>
        <v>96.42972781</v>
      </c>
      <c r="Y48" s="65">
        <f>IF(100/(1+EXP(-('Access Projection Model'!$T$64+'Access Projection Model'!$T$61*(A48-2024))))&gt;=100*'Access Projection Model'!$T$62,100,100/(1+EXP(-('Access Projection Model'!$T$64+'Access Projection Model'!$T$61*(A48-2024)))))</f>
        <v>88.94524503</v>
      </c>
      <c r="Z48" s="65">
        <f>IF(100/(1+EXP(-('Access Projection Model'!$T$63+'Access Projection Model'!$T$60*(A48-2024))))&gt;=100*'Access Projection Model'!$T$62,100,100/(1+EXP(-('Access Projection Model'!$T$63+'Access Projection Model'!$T$60*(A48-2024)))))</f>
        <v>98.94422928</v>
      </c>
    </row>
    <row r="49" ht="15.0" customHeight="1">
      <c r="A49" s="19">
        <v>2040.0</v>
      </c>
      <c r="B49" s="20">
        <v>310248.009</v>
      </c>
      <c r="C49" s="27">
        <f t="shared" si="1"/>
        <v>310248009</v>
      </c>
      <c r="D49" s="28">
        <v>75.6341812664306</v>
      </c>
      <c r="E49" s="28">
        <f t="shared" si="2"/>
        <v>75594467.5</v>
      </c>
      <c r="F49" s="28">
        <f t="shared" si="3"/>
        <v>234653541.5</v>
      </c>
      <c r="G49" s="27">
        <f t="shared" si="16"/>
        <v>5.131043903</v>
      </c>
      <c r="H49" s="27">
        <f t="shared" si="17"/>
        <v>5.497547039</v>
      </c>
      <c r="I49" s="27">
        <f t="shared" si="18"/>
        <v>4.489663415</v>
      </c>
      <c r="J49" s="66">
        <v>-0.00581353359087855</v>
      </c>
      <c r="K49" s="50">
        <f t="shared" si="11"/>
        <v>60464890.74</v>
      </c>
      <c r="L49" s="50">
        <f t="shared" ref="L49:M49" si="34">E49/H49</f>
        <v>13750581.3</v>
      </c>
      <c r="M49" s="50">
        <f t="shared" si="34"/>
        <v>52265285.79</v>
      </c>
      <c r="N49" s="63">
        <f t="shared" si="20"/>
        <v>1169591969506</v>
      </c>
      <c r="O49" s="27">
        <v>0.05</v>
      </c>
      <c r="P49" s="27">
        <f t="shared" si="4"/>
        <v>3769.861322</v>
      </c>
      <c r="Q49" s="63">
        <f t="shared" si="13"/>
        <v>171452.456</v>
      </c>
      <c r="R49" s="31">
        <f t="shared" si="14"/>
        <v>0.05</v>
      </c>
      <c r="S49" s="27">
        <f t="shared" si="5"/>
        <v>552630.3183</v>
      </c>
      <c r="U49" s="31">
        <f t="shared" si="21"/>
        <v>4022100183346</v>
      </c>
      <c r="V49" s="27">
        <v>0.05</v>
      </c>
      <c r="W49" s="27">
        <f t="shared" si="6"/>
        <v>12964.14503</v>
      </c>
      <c r="X49" s="65">
        <f t="shared" si="15"/>
        <v>97.12023209</v>
      </c>
      <c r="Y49" s="65">
        <f>IF(100/(1+EXP(-('Access Projection Model'!$T$64+'Access Projection Model'!$T$61*(A49-2024))))&gt;=100*'Access Projection Model'!$T$62,100,100/(1+EXP(-('Access Projection Model'!$T$64+'Access Projection Model'!$T$61*(A49-2024)))))</f>
        <v>90.91133795</v>
      </c>
      <c r="Z49" s="65">
        <f>IF(100/(1+EXP(-('Access Projection Model'!$T$63+'Access Projection Model'!$T$60*(A49-2024))))&gt;=100*'Access Projection Model'!$T$62,100,100/(1+EXP(-('Access Projection Model'!$T$63+'Access Projection Model'!$T$60*(A49-2024)))))</f>
        <v>99.12044928</v>
      </c>
    </row>
    <row r="50" ht="15.0" customHeight="1">
      <c r="A50" s="19">
        <v>2041.0</v>
      </c>
      <c r="B50" s="20">
        <v>315172.822</v>
      </c>
      <c r="C50" s="27">
        <f t="shared" si="1"/>
        <v>315172822</v>
      </c>
      <c r="D50" s="28">
        <v>76.4145589507978</v>
      </c>
      <c r="E50" s="28">
        <f t="shared" si="2"/>
        <v>74334900.14</v>
      </c>
      <c r="F50" s="28">
        <f t="shared" si="3"/>
        <v>240837921.9</v>
      </c>
      <c r="G50" s="27">
        <f t="shared" si="16"/>
        <v>5.101214407</v>
      </c>
      <c r="H50" s="27">
        <f t="shared" si="17"/>
        <v>5.465586865</v>
      </c>
      <c r="I50" s="27">
        <f t="shared" si="18"/>
        <v>4.463562606</v>
      </c>
      <c r="J50" s="66">
        <v>-0.00581353359087855</v>
      </c>
      <c r="K50" s="50">
        <f t="shared" si="11"/>
        <v>61783880.63</v>
      </c>
      <c r="L50" s="50">
        <f t="shared" ref="L50:M50" si="35">E50/H50</f>
        <v>13600534.03</v>
      </c>
      <c r="M50" s="50">
        <f t="shared" si="35"/>
        <v>53956434.16</v>
      </c>
      <c r="N50" s="63">
        <f t="shared" si="20"/>
        <v>1228071567981</v>
      </c>
      <c r="O50" s="27">
        <v>0.05</v>
      </c>
      <c r="P50" s="27">
        <f t="shared" si="4"/>
        <v>3896.502116</v>
      </c>
      <c r="Q50" s="63">
        <f t="shared" si="13"/>
        <v>180025.0788</v>
      </c>
      <c r="R50" s="31">
        <f t="shared" si="14"/>
        <v>0.05</v>
      </c>
      <c r="S50" s="27">
        <f t="shared" si="5"/>
        <v>571194.8055</v>
      </c>
      <c r="U50" s="31">
        <f t="shared" si="21"/>
        <v>4223205192513</v>
      </c>
      <c r="V50" s="27">
        <v>0.05</v>
      </c>
      <c r="W50" s="27">
        <f t="shared" si="6"/>
        <v>13399.64901</v>
      </c>
      <c r="X50" s="65">
        <f t="shared" si="15"/>
        <v>97.68478401</v>
      </c>
      <c r="Y50" s="65">
        <f>IF(100/(1+EXP(-('Access Projection Model'!$T$64+'Access Projection Model'!$T$61*(A50-2024))))&gt;=100*'Access Projection Model'!$T$62,100,100/(1+EXP(-('Access Projection Model'!$T$64+'Access Projection Model'!$T$61*(A50-2024)))))</f>
        <v>92.55702098</v>
      </c>
      <c r="Z50" s="65">
        <f>IF(100/(1+EXP(-('Access Projection Model'!$T$63+'Access Projection Model'!$T$60*(A50-2024))))&gt;=100*'Access Projection Model'!$T$62,100,100/(1+EXP(-('Access Projection Model'!$T$63+'Access Projection Model'!$T$60*(A50-2024)))))</f>
        <v>99.26747394</v>
      </c>
    </row>
    <row r="51" ht="15.0" customHeight="1">
      <c r="A51" s="19">
        <v>2042.0</v>
      </c>
      <c r="B51" s="20">
        <v>320041.666</v>
      </c>
      <c r="C51" s="27">
        <f t="shared" si="1"/>
        <v>320041666</v>
      </c>
      <c r="D51" s="28">
        <v>77.1935432869433</v>
      </c>
      <c r="E51" s="28">
        <f t="shared" si="2"/>
        <v>72990164.02</v>
      </c>
      <c r="F51" s="28">
        <f t="shared" si="3"/>
        <v>247051502</v>
      </c>
      <c r="G51" s="27">
        <f t="shared" si="16"/>
        <v>5.071558326</v>
      </c>
      <c r="H51" s="27">
        <f t="shared" si="17"/>
        <v>5.433812492</v>
      </c>
      <c r="I51" s="27">
        <f t="shared" si="18"/>
        <v>4.437613535</v>
      </c>
      <c r="J51" s="66">
        <v>-0.00581353359087855</v>
      </c>
      <c r="K51" s="50">
        <f t="shared" si="11"/>
        <v>63105192.81</v>
      </c>
      <c r="L51" s="50">
        <f t="shared" ref="L51:M51" si="36">E51/H51</f>
        <v>13432587.92</v>
      </c>
      <c r="M51" s="50">
        <f t="shared" si="36"/>
        <v>55672153.52</v>
      </c>
      <c r="N51" s="63">
        <f t="shared" si="20"/>
        <v>1289475146380</v>
      </c>
      <c r="O51" s="27">
        <v>0.05</v>
      </c>
      <c r="P51" s="27">
        <f t="shared" si="4"/>
        <v>4029.08522</v>
      </c>
      <c r="Q51" s="63">
        <f t="shared" si="13"/>
        <v>189026.3327</v>
      </c>
      <c r="R51" s="31">
        <f t="shared" si="14"/>
        <v>0.05</v>
      </c>
      <c r="S51" s="27">
        <f t="shared" si="5"/>
        <v>590630.386</v>
      </c>
      <c r="U51" s="31">
        <f t="shared" si="21"/>
        <v>4434365452139</v>
      </c>
      <c r="V51" s="27">
        <v>0.05</v>
      </c>
      <c r="W51" s="27">
        <f t="shared" si="6"/>
        <v>13855.58795</v>
      </c>
      <c r="X51" s="65">
        <f t="shared" si="15"/>
        <v>98.14360026</v>
      </c>
      <c r="Y51" s="65">
        <f>IF(100/(1+EXP(-('Access Projection Model'!$T$64+'Access Projection Model'!$T$61*(A51-2024))))&gt;=100*'Access Projection Model'!$T$62,100,100/(1+EXP(-('Access Projection Model'!$T$64+'Access Projection Model'!$T$61*(A51-2024)))))</f>
        <v>93.92463384</v>
      </c>
      <c r="Z51" s="65">
        <f>IF(100/(1+EXP(-('Access Projection Model'!$T$63+'Access Projection Model'!$T$60*(A51-2024))))&gt;=100*'Access Projection Model'!$T$62,100,100/(1+EXP(-('Access Projection Model'!$T$63+'Access Projection Model'!$T$60*(A51-2024)))))</f>
        <v>99.39007336</v>
      </c>
    </row>
    <row r="52" ht="15.0" customHeight="1">
      <c r="A52" s="19">
        <v>2043.0</v>
      </c>
      <c r="B52" s="20">
        <v>324858.953</v>
      </c>
      <c r="C52" s="27">
        <f t="shared" si="1"/>
        <v>324858953</v>
      </c>
      <c r="D52" s="28">
        <v>77.9711135339369</v>
      </c>
      <c r="E52" s="28">
        <f t="shared" si="2"/>
        <v>71562809.93</v>
      </c>
      <c r="F52" s="28">
        <f t="shared" si="3"/>
        <v>253296143.1</v>
      </c>
      <c r="G52" s="27">
        <f t="shared" si="16"/>
        <v>5.042074651</v>
      </c>
      <c r="H52" s="27">
        <f t="shared" si="17"/>
        <v>5.40222284</v>
      </c>
      <c r="I52" s="27">
        <f t="shared" si="18"/>
        <v>4.41181532</v>
      </c>
      <c r="J52" s="66">
        <v>-0.00581353359087855</v>
      </c>
      <c r="K52" s="50">
        <f t="shared" si="11"/>
        <v>64429619.85</v>
      </c>
      <c r="L52" s="50">
        <f t="shared" ref="L52:M52" si="37">E52/H52</f>
        <v>13246919.29</v>
      </c>
      <c r="M52" s="50">
        <f t="shared" si="37"/>
        <v>57413133.76</v>
      </c>
      <c r="N52" s="63">
        <f t="shared" si="20"/>
        <v>1353948903699</v>
      </c>
      <c r="O52" s="27">
        <v>0.05</v>
      </c>
      <c r="P52" s="27">
        <f t="shared" si="4"/>
        <v>4167.805416</v>
      </c>
      <c r="Q52" s="63">
        <f t="shared" si="13"/>
        <v>198477.6493</v>
      </c>
      <c r="R52" s="31">
        <f t="shared" si="14"/>
        <v>0.05</v>
      </c>
      <c r="S52" s="27">
        <f t="shared" si="5"/>
        <v>610965.613</v>
      </c>
      <c r="U52" s="31">
        <f t="shared" si="21"/>
        <v>4656083724746</v>
      </c>
      <c r="V52" s="27">
        <v>0.05</v>
      </c>
      <c r="W52" s="27">
        <f t="shared" si="6"/>
        <v>14332.63169</v>
      </c>
      <c r="X52" s="65">
        <f t="shared" si="15"/>
        <v>98.51464389</v>
      </c>
      <c r="Y52" s="65">
        <f>IF(100/(1+EXP(-('Access Projection Model'!$T$64+'Access Projection Model'!$T$61*(A52-2024))))&gt;=100*'Access Projection Model'!$T$62,100,100/(1+EXP(-('Access Projection Model'!$T$64+'Access Projection Model'!$T$61*(A52-2024)))))</f>
        <v>95.05438154</v>
      </c>
      <c r="Z52" s="65">
        <f>IF(100/(1+EXP(-('Access Projection Model'!$T$63+'Access Projection Model'!$T$60*(A52-2024))))&gt;=100*'Access Projection Model'!$T$62,100,100/(1+EXP(-('Access Projection Model'!$T$63+'Access Projection Model'!$T$60*(A52-2024)))))</f>
        <v>99.49225884</v>
      </c>
    </row>
    <row r="53" ht="15.0" customHeight="1">
      <c r="A53" s="19">
        <v>2044.0</v>
      </c>
      <c r="B53" s="20">
        <v>329628.926</v>
      </c>
      <c r="C53" s="27">
        <f t="shared" si="1"/>
        <v>329628926</v>
      </c>
      <c r="D53" s="28">
        <v>78.7472489508484</v>
      </c>
      <c r="E53" s="28">
        <f t="shared" si="2"/>
        <v>70055215.03</v>
      </c>
      <c r="F53" s="28">
        <f t="shared" si="3"/>
        <v>259573711</v>
      </c>
      <c r="G53" s="27">
        <f t="shared" si="16"/>
        <v>5.012762381</v>
      </c>
      <c r="H53" s="27">
        <f t="shared" si="17"/>
        <v>5.370816836</v>
      </c>
      <c r="I53" s="27">
        <f t="shared" si="18"/>
        <v>4.386167083</v>
      </c>
      <c r="J53" s="66">
        <v>-0.00581353359087855</v>
      </c>
      <c r="K53" s="50">
        <f t="shared" si="11"/>
        <v>65757939.63</v>
      </c>
      <c r="L53" s="50">
        <f t="shared" ref="L53:M53" si="38">E53/H53</f>
        <v>13043679.79</v>
      </c>
      <c r="M53" s="50">
        <f t="shared" si="38"/>
        <v>59180078.2</v>
      </c>
      <c r="N53" s="63">
        <f t="shared" si="20"/>
        <v>1421646348884</v>
      </c>
      <c r="O53" s="27">
        <v>0.05</v>
      </c>
      <c r="P53" s="27">
        <f t="shared" si="4"/>
        <v>4312.868916</v>
      </c>
      <c r="Q53" s="63">
        <f t="shared" si="13"/>
        <v>208401.5318</v>
      </c>
      <c r="R53" s="31">
        <f t="shared" si="14"/>
        <v>0.05</v>
      </c>
      <c r="S53" s="27">
        <f t="shared" si="5"/>
        <v>632230.7157</v>
      </c>
      <c r="U53" s="31">
        <f t="shared" si="21"/>
        <v>4888887910983</v>
      </c>
      <c r="V53" s="27">
        <v>0.05</v>
      </c>
      <c r="W53" s="27">
        <f t="shared" si="6"/>
        <v>14831.48937</v>
      </c>
      <c r="X53" s="65">
        <f t="shared" si="15"/>
        <v>99.14628364</v>
      </c>
      <c r="Y53" s="65">
        <f>IF(100/(1+EXP(-('Access Projection Model'!$T$64+'Access Projection Model'!$T$61*(A53-2024))))&gt;=100*'Access Projection Model'!$T$62,100,100/(1+EXP(-('Access Projection Model'!$T$64+'Access Projection Model'!$T$61*(A53-2024)))))</f>
        <v>95.98303128</v>
      </c>
      <c r="Z53" s="65">
        <f>IF(100/(1+EXP(-('Access Projection Model'!$T$63+'Access Projection Model'!$T$60*(A53-2024))))&gt;=100*'Access Projection Model'!$T$62,100,100/(1+EXP(-('Access Projection Model'!$T$63+'Access Projection Model'!$T$60*(A53-2024)))))</f>
        <v>100</v>
      </c>
    </row>
    <row r="54" ht="15.0" customHeight="1">
      <c r="A54" s="19">
        <v>2045.0</v>
      </c>
      <c r="B54" s="20">
        <v>334337.79</v>
      </c>
      <c r="C54" s="27">
        <f t="shared" si="1"/>
        <v>334337790</v>
      </c>
      <c r="D54" s="28">
        <v>79.5219287967477</v>
      </c>
      <c r="E54" s="28">
        <f t="shared" si="2"/>
        <v>68465930.7</v>
      </c>
      <c r="F54" s="28">
        <f t="shared" si="3"/>
        <v>265871859.3</v>
      </c>
      <c r="G54" s="27">
        <f t="shared" si="16"/>
        <v>4.983620518</v>
      </c>
      <c r="H54" s="27">
        <f t="shared" si="17"/>
        <v>5.339593412</v>
      </c>
      <c r="I54" s="27">
        <f t="shared" si="18"/>
        <v>4.360667953</v>
      </c>
      <c r="J54" s="66">
        <v>-0.00581353359087855</v>
      </c>
      <c r="K54" s="50">
        <f t="shared" si="11"/>
        <v>67087329.14</v>
      </c>
      <c r="L54" s="50">
        <f t="shared" ref="L54:M54" si="39">E54/H54</f>
        <v>12822311.63</v>
      </c>
      <c r="M54" s="50">
        <f t="shared" si="39"/>
        <v>60970443.55</v>
      </c>
      <c r="N54" s="63">
        <f t="shared" si="20"/>
        <v>1492728666328</v>
      </c>
      <c r="O54" s="27">
        <v>0.05</v>
      </c>
      <c r="P54" s="27">
        <f t="shared" si="4"/>
        <v>4464.732109</v>
      </c>
      <c r="Q54" s="63">
        <f t="shared" si="13"/>
        <v>218821.6084</v>
      </c>
      <c r="R54" s="31">
        <f t="shared" si="14"/>
        <v>0.05</v>
      </c>
      <c r="S54" s="27">
        <f t="shared" si="5"/>
        <v>654492.5969</v>
      </c>
      <c r="U54" s="31">
        <f t="shared" si="21"/>
        <v>5133332306533</v>
      </c>
      <c r="V54" s="27">
        <v>0.05</v>
      </c>
      <c r="W54" s="27">
        <f t="shared" si="6"/>
        <v>15353.73045</v>
      </c>
      <c r="X54" s="65">
        <f t="shared" si="15"/>
        <v>99.33308671</v>
      </c>
      <c r="Y54" s="65">
        <f>IF(100/(1+EXP(-('Access Projection Model'!$T$64+'Access Projection Model'!$T$61*(A54-2024))))&gt;=100*'Access Projection Model'!$T$62,100,100/(1+EXP(-('Access Projection Model'!$T$64+'Access Projection Model'!$T$61*(A54-2024)))))</f>
        <v>96.74328075</v>
      </c>
      <c r="Z54" s="65">
        <f>IF(100/(1+EXP(-('Access Projection Model'!$T$63+'Access Projection Model'!$T$60*(A54-2024))))&gt;=100*'Access Projection Model'!$T$62,100,100/(1+EXP(-('Access Projection Model'!$T$63+'Access Projection Model'!$T$60*(A54-2024)))))</f>
        <v>100</v>
      </c>
    </row>
    <row r="55" ht="15.0" customHeight="1">
      <c r="A55" s="19">
        <v>2046.0</v>
      </c>
      <c r="B55" s="20">
        <v>338987.213</v>
      </c>
      <c r="C55" s="27">
        <f t="shared" si="1"/>
        <v>338987213</v>
      </c>
      <c r="D55" s="28">
        <v>80.2951323307045</v>
      </c>
      <c r="E55" s="28">
        <f t="shared" si="2"/>
        <v>66796981.74</v>
      </c>
      <c r="F55" s="28">
        <f t="shared" si="3"/>
        <v>272190231.3</v>
      </c>
      <c r="G55" s="27">
        <f t="shared" si="16"/>
        <v>4.954648073</v>
      </c>
      <c r="H55" s="27">
        <f t="shared" si="17"/>
        <v>5.308551507</v>
      </c>
      <c r="I55" s="27">
        <f t="shared" si="18"/>
        <v>4.335317064</v>
      </c>
      <c r="J55" s="66">
        <v>-0.00581353359087855</v>
      </c>
      <c r="K55" s="50">
        <f t="shared" si="11"/>
        <v>68418020.41</v>
      </c>
      <c r="L55" s="50">
        <f t="shared" ref="L55:M55" si="40">E55/H55</f>
        <v>12582901.69</v>
      </c>
      <c r="M55" s="50">
        <f t="shared" si="40"/>
        <v>62784388.61</v>
      </c>
      <c r="N55" s="63">
        <f t="shared" si="20"/>
        <v>1567365099644</v>
      </c>
      <c r="O55" s="27">
        <v>0.05</v>
      </c>
      <c r="P55" s="27">
        <f t="shared" si="4"/>
        <v>4623.670273</v>
      </c>
      <c r="Q55" s="63">
        <f t="shared" si="13"/>
        <v>229762.6888</v>
      </c>
      <c r="R55" s="31">
        <f t="shared" si="14"/>
        <v>0.05</v>
      </c>
      <c r="S55" s="27">
        <f t="shared" si="5"/>
        <v>677791.6099</v>
      </c>
      <c r="U55" s="31">
        <f t="shared" si="21"/>
        <v>5389998921859</v>
      </c>
      <c r="V55" s="27">
        <v>0.05</v>
      </c>
      <c r="W55" s="27">
        <f t="shared" si="6"/>
        <v>15900.30159</v>
      </c>
      <c r="X55" s="65">
        <f t="shared" si="15"/>
        <v>99.48050046</v>
      </c>
      <c r="Y55" s="65">
        <f>IF(100/(1+EXP(-('Access Projection Model'!$T$64+'Access Projection Model'!$T$61*(A55-2024))))&gt;=100*'Access Projection Model'!$T$62,100,100/(1+EXP(-('Access Projection Model'!$T$64+'Access Projection Model'!$T$61*(A55-2024)))))</f>
        <v>97.36359792</v>
      </c>
      <c r="Z55" s="65">
        <f>IF(100/(1+EXP(-('Access Projection Model'!$T$63+'Access Projection Model'!$T$60*(A55-2024))))&gt;=100*'Access Projection Model'!$T$62,100,100/(1+EXP(-('Access Projection Model'!$T$63+'Access Projection Model'!$T$60*(A55-2024)))))</f>
        <v>100</v>
      </c>
    </row>
    <row r="56" ht="15.0" customHeight="1">
      <c r="A56" s="19">
        <v>2047.0</v>
      </c>
      <c r="B56" s="20">
        <v>343576.313</v>
      </c>
      <c r="C56" s="27">
        <f t="shared" si="1"/>
        <v>343576313</v>
      </c>
      <c r="D56" s="28">
        <v>81.0668388117888</v>
      </c>
      <c r="E56" s="28">
        <f t="shared" si="2"/>
        <v>65049857.14</v>
      </c>
      <c r="F56" s="28">
        <f t="shared" si="3"/>
        <v>278526455.9</v>
      </c>
      <c r="G56" s="27">
        <f t="shared" si="16"/>
        <v>4.92584406</v>
      </c>
      <c r="H56" s="27">
        <f t="shared" si="17"/>
        <v>5.277690064</v>
      </c>
      <c r="I56" s="27">
        <f t="shared" si="18"/>
        <v>4.310113552</v>
      </c>
      <c r="J56" s="66">
        <v>-0.00581353359087855</v>
      </c>
      <c r="K56" s="50">
        <f t="shared" si="11"/>
        <v>69749734.02</v>
      </c>
      <c r="L56" s="50">
        <f t="shared" ref="L56:M56" si="41">E56/H56</f>
        <v>12325440.93</v>
      </c>
      <c r="M56" s="50">
        <f t="shared" si="41"/>
        <v>64621605.08</v>
      </c>
      <c r="N56" s="63">
        <f t="shared" si="20"/>
        <v>1645733354627</v>
      </c>
      <c r="O56" s="27">
        <v>0.05</v>
      </c>
      <c r="P56" s="27">
        <f t="shared" si="4"/>
        <v>4790.008194</v>
      </c>
      <c r="Q56" s="63">
        <f t="shared" si="13"/>
        <v>241250.8233</v>
      </c>
      <c r="R56" s="31">
        <f t="shared" si="14"/>
        <v>0.05</v>
      </c>
      <c r="S56" s="27">
        <f t="shared" si="5"/>
        <v>702175.3658</v>
      </c>
      <c r="U56" s="31">
        <f t="shared" si="21"/>
        <v>5659498867952</v>
      </c>
      <c r="V56" s="27">
        <v>0.05</v>
      </c>
      <c r="W56" s="27">
        <f t="shared" si="6"/>
        <v>16472.3197</v>
      </c>
      <c r="X56" s="65">
        <f t="shared" si="15"/>
        <v>99.59641407</v>
      </c>
      <c r="Y56" s="65">
        <f>IF(100/(1+EXP(-('Access Projection Model'!$T$64+'Access Projection Model'!$T$61*(A56-2024))))&gt;=100*'Access Projection Model'!$T$62,100,100/(1+EXP(-('Access Projection Model'!$T$64+'Access Projection Model'!$T$61*(A56-2024)))))</f>
        <v>97.8683648</v>
      </c>
      <c r="Z56" s="65">
        <f>IF(100/(1+EXP(-('Access Projection Model'!$T$63+'Access Projection Model'!$T$60*(A56-2024))))&gt;=100*'Access Projection Model'!$T$62,100,100/(1+EXP(-('Access Projection Model'!$T$63+'Access Projection Model'!$T$60*(A56-2024)))))</f>
        <v>100</v>
      </c>
    </row>
    <row r="57" ht="15.0" customHeight="1">
      <c r="A57" s="19">
        <v>2048.0</v>
      </c>
      <c r="B57" s="20">
        <v>348111.705</v>
      </c>
      <c r="C57" s="27">
        <f t="shared" si="1"/>
        <v>348111705</v>
      </c>
      <c r="D57" s="28">
        <v>81.8370274990703</v>
      </c>
      <c r="E57" s="28">
        <f t="shared" si="2"/>
        <v>63227433.25</v>
      </c>
      <c r="F57" s="28">
        <f t="shared" si="3"/>
        <v>284884271.7</v>
      </c>
      <c r="G57" s="27">
        <f t="shared" si="16"/>
        <v>4.8972075</v>
      </c>
      <c r="H57" s="27">
        <f t="shared" si="17"/>
        <v>5.247008036</v>
      </c>
      <c r="I57" s="27">
        <f t="shared" si="18"/>
        <v>4.285056563</v>
      </c>
      <c r="J57" s="66">
        <v>-0.00581353359087855</v>
      </c>
      <c r="K57" s="50">
        <f t="shared" si="11"/>
        <v>71083715.57</v>
      </c>
      <c r="L57" s="50">
        <f t="shared" ref="L57:M57" si="42">E57/H57</f>
        <v>12050188</v>
      </c>
      <c r="M57" s="50">
        <f t="shared" si="42"/>
        <v>66483199.83</v>
      </c>
      <c r="N57" s="63">
        <f t="shared" si="20"/>
        <v>1728020022358</v>
      </c>
      <c r="O57" s="27">
        <v>0.05</v>
      </c>
      <c r="P57" s="27">
        <f t="shared" si="4"/>
        <v>4963.981382</v>
      </c>
      <c r="Q57" s="63">
        <f t="shared" si="13"/>
        <v>253313.3644</v>
      </c>
      <c r="R57" s="31">
        <f t="shared" si="14"/>
        <v>0.05</v>
      </c>
      <c r="S57" s="27">
        <f t="shared" si="5"/>
        <v>727678.3883</v>
      </c>
      <c r="U57" s="31">
        <f t="shared" si="21"/>
        <v>5942473811350</v>
      </c>
      <c r="V57" s="27">
        <v>0.05</v>
      </c>
      <c r="W57" s="27">
        <f t="shared" si="6"/>
        <v>17070.59466</v>
      </c>
      <c r="X57" s="65">
        <f t="shared" si="15"/>
        <v>99.68726954</v>
      </c>
      <c r="Y57" s="65">
        <f>IF(100/(1+EXP(-('Access Projection Model'!$T$64+'Access Projection Model'!$T$61*(A57-2024))))&gt;=100*'Access Projection Model'!$T$62,100,100/(1+EXP(-('Access Projection Model'!$T$64+'Access Projection Model'!$T$61*(A57-2024)))))</f>
        <v>98.27819781</v>
      </c>
      <c r="Z57" s="65">
        <f>IF(100/(1+EXP(-('Access Projection Model'!$T$63+'Access Projection Model'!$T$60*(A57-2024))))&gt;=100*'Access Projection Model'!$T$62,100,100/(1+EXP(-('Access Projection Model'!$T$63+'Access Projection Model'!$T$60*(A57-2024)))))</f>
        <v>100</v>
      </c>
    </row>
    <row r="58" ht="15.0" customHeight="1">
      <c r="A58" s="19">
        <v>2049.0</v>
      </c>
      <c r="B58" s="20">
        <v>352583.833</v>
      </c>
      <c r="C58" s="27">
        <f t="shared" si="1"/>
        <v>352583833</v>
      </c>
      <c r="D58" s="28">
        <v>82.6056770562314</v>
      </c>
      <c r="E58" s="28">
        <f t="shared" si="2"/>
        <v>61329570.56</v>
      </c>
      <c r="F58" s="28">
        <f t="shared" si="3"/>
        <v>291254262.4</v>
      </c>
      <c r="G58" s="27">
        <f t="shared" si="16"/>
        <v>4.86873742</v>
      </c>
      <c r="H58" s="27">
        <f t="shared" si="17"/>
        <v>5.216504378</v>
      </c>
      <c r="I58" s="27">
        <f t="shared" si="18"/>
        <v>4.260145242</v>
      </c>
      <c r="J58" s="66">
        <v>-0.00581353359087855</v>
      </c>
      <c r="K58" s="50">
        <f t="shared" si="11"/>
        <v>72417919.19</v>
      </c>
      <c r="L58" s="50">
        <f t="shared" ref="L58:M58" si="43">E58/H58</f>
        <v>11756832.95</v>
      </c>
      <c r="M58" s="50">
        <f t="shared" si="43"/>
        <v>68367214.23</v>
      </c>
      <c r="N58" s="63">
        <f t="shared" si="20"/>
        <v>1814421023476</v>
      </c>
      <c r="O58" s="27">
        <v>0.05</v>
      </c>
      <c r="P58" s="27">
        <f t="shared" si="4"/>
        <v>5146.069824</v>
      </c>
      <c r="Q58" s="63">
        <f t="shared" si="13"/>
        <v>265979.0327</v>
      </c>
      <c r="R58" s="31">
        <f t="shared" si="14"/>
        <v>0.05</v>
      </c>
      <c r="S58" s="27">
        <f t="shared" si="5"/>
        <v>754371.0396</v>
      </c>
      <c r="U58" s="31">
        <f t="shared" si="21"/>
        <v>6239597501917</v>
      </c>
      <c r="V58" s="27">
        <v>0.05</v>
      </c>
      <c r="W58" s="27">
        <f t="shared" si="6"/>
        <v>17696.7771</v>
      </c>
      <c r="X58" s="65">
        <f t="shared" si="15"/>
        <v>99.75828053</v>
      </c>
      <c r="Y58" s="65">
        <f>IF(100/(1+EXP(-('Access Projection Model'!$T$64+'Access Projection Model'!$T$61*(A58-2024))))&gt;=100*'Access Projection Model'!$T$62,100,100/(1+EXP(-('Access Projection Model'!$T$64+'Access Projection Model'!$T$61*(A58-2024)))))</f>
        <v>98.61035422</v>
      </c>
      <c r="Z58" s="65">
        <f>IF(100/(1+EXP(-('Access Projection Model'!$T$63+'Access Projection Model'!$T$60*(A58-2024))))&gt;=100*'Access Projection Model'!$T$62,100,100/(1+EXP(-('Access Projection Model'!$T$63+'Access Projection Model'!$T$60*(A58-2024)))))</f>
        <v>100</v>
      </c>
    </row>
    <row r="59" ht="15.0" customHeight="1">
      <c r="A59" s="19">
        <v>2050.0</v>
      </c>
      <c r="B59" s="20">
        <v>357001.017</v>
      </c>
      <c r="C59" s="27">
        <f t="shared" si="1"/>
        <v>357001017</v>
      </c>
      <c r="D59" s="28">
        <v>83.3727715336005</v>
      </c>
      <c r="E59" s="28">
        <f t="shared" si="2"/>
        <v>59359374.72</v>
      </c>
      <c r="F59" s="28">
        <f t="shared" si="3"/>
        <v>297641642.3</v>
      </c>
      <c r="G59" s="27">
        <f t="shared" si="16"/>
        <v>4.840432851</v>
      </c>
      <c r="H59" s="27">
        <f t="shared" si="17"/>
        <v>5.186178055</v>
      </c>
      <c r="I59" s="27">
        <f t="shared" si="18"/>
        <v>4.235378745</v>
      </c>
      <c r="J59" s="66">
        <v>-0.00581353359087855</v>
      </c>
      <c r="K59" s="50">
        <f t="shared" si="11"/>
        <v>73753944.73</v>
      </c>
      <c r="L59" s="50">
        <f t="shared" ref="L59:M59" si="44">E59/H59</f>
        <v>11445687.77</v>
      </c>
      <c r="M59" s="50">
        <f t="shared" si="44"/>
        <v>70275094.68</v>
      </c>
      <c r="N59" s="63">
        <f t="shared" si="20"/>
        <v>1905142074650</v>
      </c>
      <c r="O59" s="27">
        <v>0.05</v>
      </c>
      <c r="P59" s="27">
        <f t="shared" si="4"/>
        <v>5336.51722</v>
      </c>
      <c r="Q59" s="63">
        <f t="shared" si="13"/>
        <v>279277.9843</v>
      </c>
      <c r="R59" s="31">
        <f t="shared" si="14"/>
        <v>0.05</v>
      </c>
      <c r="S59" s="27">
        <f t="shared" si="5"/>
        <v>782289.044</v>
      </c>
      <c r="U59" s="31">
        <f t="shared" si="21"/>
        <v>6551577377013</v>
      </c>
      <c r="V59" s="27">
        <v>0.05</v>
      </c>
      <c r="W59" s="27">
        <f t="shared" si="6"/>
        <v>18351.70508</v>
      </c>
      <c r="X59" s="65">
        <f t="shared" si="15"/>
        <v>99.81363611</v>
      </c>
      <c r="Y59" s="65">
        <f>IF(100/(1+EXP(-('Access Projection Model'!$T$64+'Access Projection Model'!$T$61*(A59-2024))))&gt;=100*'Access Projection Model'!$T$62,100,100/(1+EXP(-('Access Projection Model'!$T$64+'Access Projection Model'!$T$61*(A59-2024)))))</f>
        <v>98.87916444</v>
      </c>
      <c r="Z59" s="65">
        <f>IF(100/(1+EXP(-('Access Projection Model'!$T$63+'Access Projection Model'!$T$60*(A59-2024))))&gt;=100*'Access Projection Model'!$T$62,100,100/(1+EXP(-('Access Projection Model'!$T$63+'Access Projection Model'!$T$60*(A59-2024)))))</f>
        <v>100</v>
      </c>
    </row>
    <row r="60" ht="15.0" customHeight="1">
      <c r="A60" s="19">
        <v>2051.0</v>
      </c>
      <c r="B60" s="20">
        <v>361370.094</v>
      </c>
      <c r="C60" s="27">
        <f t="shared" si="1"/>
        <v>361370094</v>
      </c>
      <c r="D60" s="28">
        <v>84.5136765543532</v>
      </c>
      <c r="E60" s="28">
        <f t="shared" si="2"/>
        <v>55962941.59</v>
      </c>
      <c r="F60" s="28">
        <f t="shared" si="3"/>
        <v>305407152.4</v>
      </c>
      <c r="G60" s="27">
        <f t="shared" si="16"/>
        <v>4.812292832</v>
      </c>
      <c r="H60" s="27">
        <f t="shared" si="17"/>
        <v>5.156028035</v>
      </c>
      <c r="I60" s="27">
        <f t="shared" si="18"/>
        <v>4.210756228</v>
      </c>
      <c r="J60" s="66">
        <v>-0.00581353359087855</v>
      </c>
      <c r="K60" s="50">
        <f t="shared" si="11"/>
        <v>75093122.26</v>
      </c>
      <c r="L60" s="50">
        <f t="shared" ref="L60:M60" si="45">E60/H60</f>
        <v>10853886.21</v>
      </c>
      <c r="M60" s="50">
        <f t="shared" si="45"/>
        <v>72530238.24</v>
      </c>
      <c r="N60" s="63">
        <f t="shared" si="20"/>
        <v>2000399178382</v>
      </c>
      <c r="O60" s="27">
        <v>0.05</v>
      </c>
      <c r="P60" s="27">
        <f t="shared" si="4"/>
        <v>5535.596917</v>
      </c>
      <c r="Q60" s="63">
        <f t="shared" si="13"/>
        <v>293241.8835</v>
      </c>
      <c r="R60" s="31">
        <f t="shared" si="14"/>
        <v>0.05</v>
      </c>
      <c r="S60" s="27">
        <f t="shared" si="5"/>
        <v>811472.472</v>
      </c>
      <c r="U60" s="31">
        <f t="shared" si="21"/>
        <v>6879156245864</v>
      </c>
      <c r="V60" s="27">
        <v>0.05</v>
      </c>
      <c r="W60" s="27">
        <f t="shared" si="6"/>
        <v>19036.31861</v>
      </c>
      <c r="X60" s="65">
        <f t="shared" si="15"/>
        <v>99.86007379</v>
      </c>
      <c r="Y60" s="65">
        <f>IF(100/(1+EXP(-('Access Projection Model'!$T$64+'Access Projection Model'!$T$61*(A60-2024))))&gt;=100*'Access Projection Model'!$T$62,100,100/(1+EXP(-('Access Projection Model'!$T$64+'Access Projection Model'!$T$61*(A60-2024)))))</f>
        <v>99.09645301</v>
      </c>
      <c r="Z60" s="65">
        <f>IF(100/(1+EXP(-('Access Projection Model'!$T$63+'Access Projection Model'!$T$60*(A60-2024))))&gt;=100*'Access Projection Model'!$T$62,100,100/(1+EXP(-('Access Projection Model'!$T$63+'Access Projection Model'!$T$60*(A60-2024)))))</f>
        <v>100</v>
      </c>
    </row>
    <row r="61" ht="15.0" customHeight="1">
      <c r="A61" s="19">
        <v>2052.0</v>
      </c>
      <c r="B61" s="20">
        <v>365677.127</v>
      </c>
      <c r="C61" s="27">
        <f t="shared" si="1"/>
        <v>365677127</v>
      </c>
      <c r="D61" s="28">
        <v>85.3175992134598</v>
      </c>
      <c r="E61" s="28">
        <f t="shared" si="2"/>
        <v>53690181.37</v>
      </c>
      <c r="F61" s="28">
        <f t="shared" si="3"/>
        <v>311986945.6</v>
      </c>
      <c r="G61" s="27">
        <f t="shared" si="16"/>
        <v>4.784316406</v>
      </c>
      <c r="H61" s="27">
        <f t="shared" si="17"/>
        <v>5.126053292</v>
      </c>
      <c r="I61" s="27">
        <f t="shared" si="18"/>
        <v>4.186276855</v>
      </c>
      <c r="J61" s="66">
        <v>-0.00581353359087855</v>
      </c>
      <c r="K61" s="50">
        <f t="shared" si="11"/>
        <v>76432471.42</v>
      </c>
      <c r="L61" s="50">
        <f t="shared" ref="L61:M61" si="46">E61/H61</f>
        <v>10473980.33</v>
      </c>
      <c r="M61" s="50">
        <f t="shared" si="46"/>
        <v>74526113.87</v>
      </c>
      <c r="N61" s="63">
        <f t="shared" si="20"/>
        <v>2100419137301</v>
      </c>
      <c r="O61" s="27">
        <v>0.05</v>
      </c>
      <c r="P61" s="27">
        <f t="shared" si="4"/>
        <v>5743.917194</v>
      </c>
      <c r="Q61" s="63">
        <f t="shared" si="13"/>
        <v>307903.9777</v>
      </c>
      <c r="R61" s="31">
        <f t="shared" si="14"/>
        <v>0.05</v>
      </c>
      <c r="S61" s="27">
        <f t="shared" si="5"/>
        <v>842010.4922</v>
      </c>
      <c r="U61" s="31">
        <f t="shared" si="21"/>
        <v>7223114058157</v>
      </c>
      <c r="V61" s="27">
        <v>0.05</v>
      </c>
      <c r="W61" s="27">
        <f t="shared" si="6"/>
        <v>19752.70949</v>
      </c>
      <c r="X61" s="65">
        <f t="shared" si="15"/>
        <v>99.89310148</v>
      </c>
      <c r="Y61" s="65">
        <f>IF(100/(1+EXP(-('Access Projection Model'!$T$64+'Access Projection Model'!$T$61*(A61-2024))))&gt;=100*'Access Projection Model'!$T$62,100,100/(1+EXP(-('Access Projection Model'!$T$64+'Access Projection Model'!$T$61*(A61-2024)))))</f>
        <v>99.27192753</v>
      </c>
      <c r="Z61" s="65">
        <f>IF(100/(1+EXP(-('Access Projection Model'!$T$63+'Access Projection Model'!$T$60*(A61-2024))))&gt;=100*'Access Projection Model'!$T$62,100,100/(1+EXP(-('Access Projection Model'!$T$63+'Access Projection Model'!$T$60*(A61-2024)))))</f>
        <v>100</v>
      </c>
    </row>
    <row r="62" ht="15.0" customHeight="1">
      <c r="A62" s="19">
        <v>2053.0</v>
      </c>
      <c r="B62" s="20">
        <v>369930.286</v>
      </c>
      <c r="C62" s="27">
        <f t="shared" si="1"/>
        <v>369930286</v>
      </c>
      <c r="D62" s="28">
        <v>86.1215218725664</v>
      </c>
      <c r="E62" s="28">
        <f t="shared" si="2"/>
        <v>51340693.83</v>
      </c>
      <c r="F62" s="28">
        <f t="shared" si="3"/>
        <v>318589592.2</v>
      </c>
      <c r="G62" s="27">
        <f t="shared" si="16"/>
        <v>4.756502622</v>
      </c>
      <c r="H62" s="27">
        <f t="shared" si="17"/>
        <v>5.096252809</v>
      </c>
      <c r="I62" s="27">
        <f t="shared" si="18"/>
        <v>4.161939794</v>
      </c>
      <c r="J62" s="66">
        <v>-0.00581353359087855</v>
      </c>
      <c r="K62" s="50">
        <f t="shared" si="11"/>
        <v>77773590.26</v>
      </c>
      <c r="L62" s="50">
        <f t="shared" ref="L62:M62" si="47">E62/H62</f>
        <v>10074204.67</v>
      </c>
      <c r="M62" s="50">
        <f t="shared" si="47"/>
        <v>76548342.34</v>
      </c>
      <c r="N62" s="63">
        <f t="shared" si="20"/>
        <v>2205440094166</v>
      </c>
      <c r="O62" s="27">
        <v>0.05</v>
      </c>
      <c r="P62" s="27">
        <f t="shared" si="4"/>
        <v>5961.772198</v>
      </c>
      <c r="Q62" s="63">
        <f t="shared" si="13"/>
        <v>323299.1766</v>
      </c>
      <c r="R62" s="31">
        <f t="shared" si="14"/>
        <v>0.05</v>
      </c>
      <c r="S62" s="27">
        <f t="shared" si="5"/>
        <v>873946.2239</v>
      </c>
      <c r="U62" s="31">
        <f t="shared" si="21"/>
        <v>7584269761065</v>
      </c>
      <c r="V62" s="27">
        <v>0.05</v>
      </c>
      <c r="W62" s="27">
        <f t="shared" si="6"/>
        <v>20501.88927</v>
      </c>
      <c r="X62" s="65">
        <f t="shared" si="15"/>
        <v>99.91860626</v>
      </c>
      <c r="Y62" s="65">
        <f>IF(100/(1+EXP(-('Access Projection Model'!$T$64+'Access Projection Model'!$T$61*(A62-2024))))&gt;=100*'Access Projection Model'!$T$62,100,100/(1+EXP(-('Access Projection Model'!$T$64+'Access Projection Model'!$T$61*(A62-2024)))))</f>
        <v>99.41352548</v>
      </c>
      <c r="Z62" s="65">
        <f>IF(100/(1+EXP(-('Access Projection Model'!$T$63+'Access Projection Model'!$T$60*(A62-2024))))&gt;=100*'Access Projection Model'!$T$62,100,100/(1+EXP(-('Access Projection Model'!$T$63+'Access Projection Model'!$T$60*(A62-2024)))))</f>
        <v>100</v>
      </c>
    </row>
    <row r="63" ht="15.0" customHeight="1">
      <c r="A63" s="19">
        <v>2054.0</v>
      </c>
      <c r="B63" s="20">
        <v>374117.559</v>
      </c>
      <c r="C63" s="27">
        <f t="shared" si="1"/>
        <v>374117559</v>
      </c>
      <c r="D63" s="28">
        <v>86.925444531673</v>
      </c>
      <c r="E63" s="28">
        <f t="shared" si="2"/>
        <v>48914207.77</v>
      </c>
      <c r="F63" s="28">
        <f t="shared" si="3"/>
        <v>325203351.2</v>
      </c>
      <c r="G63" s="27">
        <f t="shared" si="16"/>
        <v>4.728850534</v>
      </c>
      <c r="H63" s="27">
        <f t="shared" si="17"/>
        <v>5.066625572</v>
      </c>
      <c r="I63" s="27">
        <f t="shared" si="18"/>
        <v>4.137744218</v>
      </c>
      <c r="J63" s="66">
        <v>-0.00581353359087855</v>
      </c>
      <c r="K63" s="50">
        <f t="shared" si="11"/>
        <v>79113847.28</v>
      </c>
      <c r="L63" s="50">
        <f t="shared" ref="L63:M63" si="48">E63/H63</f>
        <v>9654198.257</v>
      </c>
      <c r="M63" s="50">
        <f t="shared" si="48"/>
        <v>78594358.21</v>
      </c>
      <c r="N63" s="63">
        <f t="shared" si="20"/>
        <v>2315712098875</v>
      </c>
      <c r="O63" s="27">
        <v>0.05</v>
      </c>
      <c r="P63" s="27">
        <f t="shared" si="4"/>
        <v>6189.797948</v>
      </c>
      <c r="Q63" s="63">
        <f t="shared" si="13"/>
        <v>339464.1354</v>
      </c>
      <c r="R63" s="31">
        <f t="shared" si="14"/>
        <v>0.05</v>
      </c>
      <c r="S63" s="27">
        <f t="shared" si="5"/>
        <v>907372.9025</v>
      </c>
      <c r="U63" s="31">
        <f t="shared" si="21"/>
        <v>7963483249118</v>
      </c>
      <c r="V63" s="27">
        <v>0.05</v>
      </c>
      <c r="W63" s="27">
        <f t="shared" si="6"/>
        <v>21286.04514</v>
      </c>
      <c r="X63" s="65">
        <f t="shared" si="15"/>
        <v>100</v>
      </c>
      <c r="Y63" s="65">
        <f>IF(100/(1+EXP(-('Access Projection Model'!$T$64+'Access Projection Model'!$T$61*(A63-2024))))&gt;=100*'Access Projection Model'!$T$62,100,100/(1+EXP(-('Access Projection Model'!$T$64+'Access Projection Model'!$T$61*(A63-2024)))))</f>
        <v>100</v>
      </c>
      <c r="Z63" s="65">
        <f>IF(100/(1+EXP(-('Access Projection Model'!$T$63+'Access Projection Model'!$T$60*(A63-2024))))&gt;=100*'Access Projection Model'!$T$62,100,100/(1+EXP(-('Access Projection Model'!$T$63+'Access Projection Model'!$T$60*(A63-2024)))))</f>
        <v>100</v>
      </c>
    </row>
    <row r="64" ht="15.0" customHeight="1">
      <c r="A64" s="19">
        <v>2055.0</v>
      </c>
      <c r="B64" s="20">
        <v>378237.281</v>
      </c>
      <c r="C64" s="27">
        <f t="shared" si="1"/>
        <v>378237281</v>
      </c>
      <c r="D64" s="28">
        <v>87.7293671907796</v>
      </c>
      <c r="E64" s="28">
        <f t="shared" si="2"/>
        <v>46412107.9</v>
      </c>
      <c r="F64" s="28">
        <f t="shared" si="3"/>
        <v>331825173.1</v>
      </c>
      <c r="G64" s="27">
        <f t="shared" si="16"/>
        <v>4.701359203</v>
      </c>
      <c r="H64" s="27">
        <f t="shared" si="17"/>
        <v>5.037170574</v>
      </c>
      <c r="I64" s="27">
        <f t="shared" si="18"/>
        <v>4.113689303</v>
      </c>
      <c r="J64" s="66">
        <v>-0.00581353359087855</v>
      </c>
      <c r="K64" s="50">
        <f t="shared" si="11"/>
        <v>80452750.93</v>
      </c>
      <c r="L64" s="50">
        <f t="shared" ref="L64:M64" si="49">E64/H64</f>
        <v>9213924.209</v>
      </c>
      <c r="M64" s="50">
        <f t="shared" si="49"/>
        <v>80663644.89</v>
      </c>
      <c r="N64" s="63">
        <f t="shared" si="20"/>
        <v>2431497703818</v>
      </c>
      <c r="O64" s="27">
        <v>0.05</v>
      </c>
      <c r="P64" s="27">
        <f t="shared" si="4"/>
        <v>6428.498263</v>
      </c>
      <c r="Q64" s="63">
        <f t="shared" si="13"/>
        <v>356437.3422</v>
      </c>
      <c r="R64" s="31">
        <f t="shared" si="14"/>
        <v>0.05</v>
      </c>
      <c r="S64" s="27">
        <f t="shared" si="5"/>
        <v>942364.3836</v>
      </c>
      <c r="U64" s="31">
        <f t="shared" si="21"/>
        <v>8361657411574</v>
      </c>
      <c r="V64" s="27">
        <v>0.05</v>
      </c>
      <c r="W64" s="27">
        <f t="shared" si="6"/>
        <v>22106.90969</v>
      </c>
      <c r="X64" s="65">
        <f t="shared" si="15"/>
        <v>100</v>
      </c>
      <c r="Y64" s="65">
        <f>IF(100/(1+EXP(-('Access Projection Model'!$T$64+'Access Projection Model'!$T$61*(A64-2024))))&gt;=100*'Access Projection Model'!$T$62,100,100/(1+EXP(-('Access Projection Model'!$T$64+'Access Projection Model'!$T$61*(A64-2024)))))</f>
        <v>100</v>
      </c>
      <c r="Z64" s="65">
        <f>IF(100/(1+EXP(-('Access Projection Model'!$T$63+'Access Projection Model'!$T$60*(A64-2024))))&gt;=100*'Access Projection Model'!$T$62,100,100/(1+EXP(-('Access Projection Model'!$T$63+'Access Projection Model'!$T$60*(A64-2024)))))</f>
        <v>100</v>
      </c>
    </row>
    <row r="65" ht="15.0" customHeight="1">
      <c r="A65" s="19">
        <v>2056.0</v>
      </c>
      <c r="B65" s="20">
        <v>382299.706</v>
      </c>
      <c r="C65" s="27">
        <f t="shared" si="1"/>
        <v>382299706</v>
      </c>
      <c r="D65" s="28">
        <v>88.5332898498861</v>
      </c>
      <c r="E65" s="28">
        <f t="shared" si="2"/>
        <v>43837199.19</v>
      </c>
      <c r="F65" s="28">
        <f t="shared" si="3"/>
        <v>338462506.8</v>
      </c>
      <c r="G65" s="27">
        <f t="shared" si="16"/>
        <v>4.674027693</v>
      </c>
      <c r="H65" s="27">
        <f t="shared" si="17"/>
        <v>5.007886814</v>
      </c>
      <c r="I65" s="27">
        <f t="shared" si="18"/>
        <v>4.089774232</v>
      </c>
      <c r="J65" s="66">
        <v>-0.00581353359087855</v>
      </c>
      <c r="K65" s="50">
        <f t="shared" si="11"/>
        <v>81792349.36</v>
      </c>
      <c r="L65" s="50">
        <f t="shared" ref="L65:M65" si="50">E65/H65</f>
        <v>8753632.184</v>
      </c>
      <c r="M65" s="50">
        <f t="shared" si="50"/>
        <v>82758237.41</v>
      </c>
      <c r="N65" s="63">
        <f t="shared" si="20"/>
        <v>2553072589009</v>
      </c>
      <c r="O65" s="27">
        <v>0.05</v>
      </c>
      <c r="P65" s="27">
        <f t="shared" si="4"/>
        <v>6678.19658</v>
      </c>
      <c r="Q65" s="63">
        <f t="shared" si="13"/>
        <v>374259.2093</v>
      </c>
      <c r="R65" s="31">
        <f t="shared" si="14"/>
        <v>0.05</v>
      </c>
      <c r="S65" s="27">
        <f t="shared" si="5"/>
        <v>978968.0803</v>
      </c>
      <c r="U65" s="31">
        <f t="shared" si="21"/>
        <v>8779740282153</v>
      </c>
      <c r="V65" s="27">
        <v>0.05</v>
      </c>
      <c r="W65" s="27">
        <f t="shared" si="6"/>
        <v>22965.59517</v>
      </c>
      <c r="X65" s="65">
        <f t="shared" si="15"/>
        <v>100</v>
      </c>
      <c r="Y65" s="65">
        <f>IF(100/(1+EXP(-('Access Projection Model'!$T$64+'Access Projection Model'!$T$61*(A65-2024))))&gt;=100*'Access Projection Model'!$T$62,100,100/(1+EXP(-('Access Projection Model'!$T$64+'Access Projection Model'!$T$61*(A65-2024)))))</f>
        <v>100</v>
      </c>
      <c r="Z65" s="65">
        <f>IF(100/(1+EXP(-('Access Projection Model'!$T$63+'Access Projection Model'!$T$60*(A65-2024))))&gt;=100*'Access Projection Model'!$T$62,100,100/(1+EXP(-('Access Projection Model'!$T$63+'Access Projection Model'!$T$60*(A65-2024)))))</f>
        <v>100</v>
      </c>
    </row>
    <row r="66" ht="15.0" customHeight="1">
      <c r="A66" s="19">
        <v>2057.0</v>
      </c>
      <c r="B66" s="20">
        <v>386301.654</v>
      </c>
      <c r="C66" s="27">
        <f t="shared" si="1"/>
        <v>386301654</v>
      </c>
      <c r="D66" s="28">
        <v>89.3372125089927</v>
      </c>
      <c r="E66" s="28">
        <f t="shared" si="2"/>
        <v>41190524.44</v>
      </c>
      <c r="F66" s="28">
        <f t="shared" si="3"/>
        <v>345111129.6</v>
      </c>
      <c r="G66" s="27">
        <f t="shared" si="16"/>
        <v>4.646855076</v>
      </c>
      <c r="H66" s="27">
        <f t="shared" si="17"/>
        <v>4.978773296</v>
      </c>
      <c r="I66" s="27">
        <f t="shared" si="18"/>
        <v>4.065998192</v>
      </c>
      <c r="J66" s="66">
        <v>-0.00581353359087855</v>
      </c>
      <c r="K66" s="50">
        <f t="shared" si="11"/>
        <v>83131848.89</v>
      </c>
      <c r="L66" s="50">
        <f t="shared" ref="L66:M66" si="51">E66/H66</f>
        <v>8273227.559</v>
      </c>
      <c r="M66" s="50">
        <f t="shared" si="51"/>
        <v>84877344.58</v>
      </c>
      <c r="N66" s="63">
        <f t="shared" si="20"/>
        <v>2680726218460</v>
      </c>
      <c r="O66" s="27">
        <v>0.05</v>
      </c>
      <c r="P66" s="27">
        <f t="shared" si="4"/>
        <v>6939.463476</v>
      </c>
      <c r="Q66" s="63">
        <f t="shared" si="13"/>
        <v>392972.1697</v>
      </c>
      <c r="R66" s="31">
        <f t="shared" si="14"/>
        <v>0.05</v>
      </c>
      <c r="S66" s="27">
        <f t="shared" si="5"/>
        <v>1017267.634</v>
      </c>
      <c r="U66" s="31">
        <f t="shared" si="21"/>
        <v>9218727296260</v>
      </c>
      <c r="V66" s="27">
        <v>0.05</v>
      </c>
      <c r="W66" s="27">
        <f t="shared" si="6"/>
        <v>23864.06375</v>
      </c>
      <c r="X66" s="65">
        <f t="shared" si="15"/>
        <v>100</v>
      </c>
      <c r="Y66" s="65">
        <f>IF(100/(1+EXP(-('Access Projection Model'!$T$64+'Access Projection Model'!$T$61*(A66-2024))))&gt;=100*'Access Projection Model'!$T$62,100,100/(1+EXP(-('Access Projection Model'!$T$64+'Access Projection Model'!$T$61*(A66-2024)))))</f>
        <v>100</v>
      </c>
      <c r="Z66" s="65">
        <f>IF(100/(1+EXP(-('Access Projection Model'!$T$63+'Access Projection Model'!$T$60*(A66-2024))))&gt;=100*'Access Projection Model'!$T$62,100,100/(1+EXP(-('Access Projection Model'!$T$63+'Access Projection Model'!$T$60*(A66-2024)))))</f>
        <v>100</v>
      </c>
    </row>
    <row r="67" ht="15.0" customHeight="1">
      <c r="A67" s="19">
        <v>2058.0</v>
      </c>
      <c r="B67" s="20">
        <v>390234.537</v>
      </c>
      <c r="C67" s="27">
        <f t="shared" si="1"/>
        <v>390234537</v>
      </c>
      <c r="D67" s="28">
        <v>90.1411351680993</v>
      </c>
      <c r="E67" s="28">
        <f t="shared" si="2"/>
        <v>38472695.53</v>
      </c>
      <c r="F67" s="28">
        <f t="shared" si="3"/>
        <v>351761841.5</v>
      </c>
      <c r="G67" s="27">
        <f t="shared" si="16"/>
        <v>4.619840428</v>
      </c>
      <c r="H67" s="27">
        <f t="shared" si="17"/>
        <v>4.94982903</v>
      </c>
      <c r="I67" s="27">
        <f t="shared" si="18"/>
        <v>4.042360375</v>
      </c>
      <c r="J67" s="66">
        <v>-0.00581353359087855</v>
      </c>
      <c r="K67" s="50">
        <f t="shared" si="11"/>
        <v>84469267.51</v>
      </c>
      <c r="L67" s="50">
        <f t="shared" ref="L67:M67" si="52">E67/H67</f>
        <v>7772530.182</v>
      </c>
      <c r="M67" s="50">
        <f t="shared" si="52"/>
        <v>87018921.84</v>
      </c>
      <c r="N67" s="63">
        <f t="shared" si="20"/>
        <v>2814762529383</v>
      </c>
      <c r="O67" s="27">
        <v>0.05</v>
      </c>
      <c r="P67" s="27">
        <f t="shared" si="4"/>
        <v>7213.002086</v>
      </c>
      <c r="Q67" s="63">
        <f t="shared" si="13"/>
        <v>412620.7782</v>
      </c>
      <c r="R67" s="31">
        <f t="shared" si="14"/>
        <v>0.05</v>
      </c>
      <c r="S67" s="27">
        <f t="shared" si="5"/>
        <v>1057366.12</v>
      </c>
      <c r="U67" s="31">
        <f t="shared" si="21"/>
        <v>9679663661073</v>
      </c>
      <c r="V67" s="27">
        <v>0.05</v>
      </c>
      <c r="W67" s="27">
        <f t="shared" si="6"/>
        <v>24804.73342</v>
      </c>
      <c r="X67" s="65">
        <f t="shared" si="15"/>
        <v>100</v>
      </c>
      <c r="Y67" s="65">
        <f>IF(100/(1+EXP(-('Access Projection Model'!$T$64+'Access Projection Model'!$T$61*(A67-2024))))&gt;=100*'Access Projection Model'!$T$62,100,100/(1+EXP(-('Access Projection Model'!$T$64+'Access Projection Model'!$T$61*(A67-2024)))))</f>
        <v>100</v>
      </c>
      <c r="Z67" s="65">
        <f>IF(100/(1+EXP(-('Access Projection Model'!$T$63+'Access Projection Model'!$T$60*(A67-2024))))&gt;=100*'Access Projection Model'!$T$62,100,100/(1+EXP(-('Access Projection Model'!$T$63+'Access Projection Model'!$T$60*(A67-2024)))))</f>
        <v>100</v>
      </c>
    </row>
    <row r="68" ht="15.0" customHeight="1">
      <c r="A68" s="19">
        <v>2059.0</v>
      </c>
      <c r="B68" s="20">
        <v>394106.89</v>
      </c>
      <c r="C68" s="27">
        <f t="shared" si="1"/>
        <v>394106890</v>
      </c>
      <c r="D68" s="28">
        <v>90.9450578272059</v>
      </c>
      <c r="E68" s="28">
        <f t="shared" si="2"/>
        <v>35686150.99</v>
      </c>
      <c r="F68" s="28">
        <f t="shared" si="3"/>
        <v>358420739</v>
      </c>
      <c r="G68" s="27">
        <f t="shared" si="16"/>
        <v>4.592982831</v>
      </c>
      <c r="H68" s="27">
        <f t="shared" si="17"/>
        <v>4.921053033</v>
      </c>
      <c r="I68" s="27">
        <f t="shared" si="18"/>
        <v>4.018859977</v>
      </c>
      <c r="J68" s="66">
        <v>-0.00581353359087855</v>
      </c>
      <c r="K68" s="50">
        <f t="shared" si="11"/>
        <v>85806305.95</v>
      </c>
      <c r="L68" s="50">
        <f t="shared" ref="L68:M68" si="53">E68/H68</f>
        <v>7251730.626</v>
      </c>
      <c r="M68" s="50">
        <f t="shared" si="53"/>
        <v>89184679.51</v>
      </c>
      <c r="N68" s="63">
        <f t="shared" si="20"/>
        <v>2955500655852</v>
      </c>
      <c r="O68" s="27">
        <v>0.05</v>
      </c>
      <c r="P68" s="27">
        <f t="shared" si="4"/>
        <v>7499.236199</v>
      </c>
      <c r="Q68" s="63">
        <f t="shared" si="13"/>
        <v>433251.8171</v>
      </c>
      <c r="R68" s="31">
        <f t="shared" si="14"/>
        <v>0.05</v>
      </c>
      <c r="S68" s="27">
        <f t="shared" si="5"/>
        <v>1099325.66</v>
      </c>
      <c r="U68" s="31">
        <f t="shared" si="21"/>
        <v>10163646844127</v>
      </c>
      <c r="V68" s="27">
        <v>0.05</v>
      </c>
      <c r="W68" s="27">
        <f t="shared" si="6"/>
        <v>25789.06155</v>
      </c>
      <c r="X68" s="65">
        <f t="shared" si="15"/>
        <v>100</v>
      </c>
      <c r="Y68" s="65">
        <f>IF(100/(1+EXP(-('Access Projection Model'!$T$64+'Access Projection Model'!$T$61*(A68-2024))))&gt;=100*'Access Projection Model'!$T$62,100,100/(1+EXP(-('Access Projection Model'!$T$64+'Access Projection Model'!$T$61*(A68-2024)))))</f>
        <v>100</v>
      </c>
      <c r="Z68" s="65">
        <f>IF(100/(1+EXP(-('Access Projection Model'!$T$63+'Access Projection Model'!$T$60*(A68-2024))))&gt;=100*'Access Projection Model'!$T$62,100,100/(1+EXP(-('Access Projection Model'!$T$63+'Access Projection Model'!$T$60*(A68-2024)))))</f>
        <v>100</v>
      </c>
    </row>
    <row r="69" ht="15.0" customHeight="1">
      <c r="A69" s="19">
        <v>2060.0</v>
      </c>
      <c r="B69" s="20">
        <v>397911.853</v>
      </c>
      <c r="C69" s="27">
        <f t="shared" si="1"/>
        <v>397911853</v>
      </c>
      <c r="D69" s="28">
        <v>91.7489804863125</v>
      </c>
      <c r="E69" s="28">
        <f t="shared" si="2"/>
        <v>32831784.64</v>
      </c>
      <c r="F69" s="28">
        <f t="shared" si="3"/>
        <v>365080068.4</v>
      </c>
      <c r="G69" s="27">
        <f t="shared" si="16"/>
        <v>4.566281371</v>
      </c>
      <c r="H69" s="27">
        <f t="shared" si="17"/>
        <v>4.892444326</v>
      </c>
      <c r="I69" s="27">
        <f t="shared" si="18"/>
        <v>3.995496199</v>
      </c>
      <c r="J69" s="66">
        <v>-0.00581353359087855</v>
      </c>
      <c r="K69" s="50">
        <f t="shared" si="11"/>
        <v>87141334.64</v>
      </c>
      <c r="L69" s="50">
        <f t="shared" ref="L69:M69" si="54">E69/H69</f>
        <v>6710711.958</v>
      </c>
      <c r="M69" s="50">
        <f t="shared" si="54"/>
        <v>91372898.42</v>
      </c>
      <c r="N69" s="50">
        <f t="shared" si="20"/>
        <v>3103275688644</v>
      </c>
      <c r="O69" s="27">
        <v>0.05</v>
      </c>
      <c r="P69" s="27">
        <f t="shared" si="4"/>
        <v>7798.902358</v>
      </c>
      <c r="Q69" s="63">
        <f t="shared" si="13"/>
        <v>454914.408</v>
      </c>
      <c r="R69" s="31">
        <f t="shared" si="14"/>
        <v>0.05</v>
      </c>
      <c r="S69" s="27">
        <f t="shared" si="5"/>
        <v>1143254.227</v>
      </c>
      <c r="U69" s="31">
        <f t="shared" si="21"/>
        <v>10671829186333</v>
      </c>
      <c r="V69" s="27">
        <v>0.05</v>
      </c>
      <c r="W69" s="27">
        <f t="shared" si="6"/>
        <v>26819.58104</v>
      </c>
      <c r="X69" s="65">
        <f t="shared" si="15"/>
        <v>100</v>
      </c>
      <c r="Y69" s="65">
        <f>IF(100/(1+EXP(-('Access Projection Model'!$T$64+'Access Projection Model'!$T$61*(A69-2024))))&gt;=100*'Access Projection Model'!$T$62,100,100/(1+EXP(-('Access Projection Model'!$T$64+'Access Projection Model'!$T$61*(A69-2024)))))</f>
        <v>100</v>
      </c>
      <c r="Z69" s="65">
        <f>IF(100/(1+EXP(-('Access Projection Model'!$T$63+'Access Projection Model'!$T$60*(A69-2024))))&gt;=100*'Access Projection Model'!$T$62,100,100/(1+EXP(-('Access Projection Model'!$T$63+'Access Projection Model'!$T$60*(A69-2024)))))</f>
        <v>100</v>
      </c>
    </row>
    <row r="70" ht="15.0" customHeight="1">
      <c r="A70" s="19"/>
      <c r="B70" s="20"/>
    </row>
    <row r="71" ht="15.0" customHeight="1">
      <c r="X71" s="102"/>
      <c r="Y71" s="102"/>
      <c r="Z71" s="102"/>
    </row>
    <row r="72" ht="15.0" customHeight="1">
      <c r="X72" s="102"/>
      <c r="Y72" s="102"/>
      <c r="Z72" s="102"/>
    </row>
    <row r="73" ht="15.0" customHeight="1">
      <c r="X73" s="102"/>
      <c r="Y73" s="102"/>
      <c r="Z73" s="102"/>
    </row>
    <row r="74" ht="15.0" customHeight="1">
      <c r="X74" s="102"/>
      <c r="Y74" s="102"/>
      <c r="Z74" s="10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45" width="8.63"/>
  </cols>
  <sheetData>
    <row r="1" ht="26.25" customHeight="1">
      <c r="A1" s="7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ht="19.5" customHeight="1">
      <c r="A2" s="25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30"/>
      <c r="AE2" s="30"/>
      <c r="AF2" s="32"/>
      <c r="AG2" s="33"/>
      <c r="AH2" s="33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18.75" customHeight="1">
      <c r="A3" s="35" t="s">
        <v>37</v>
      </c>
      <c r="B3" s="36">
        <v>1981.0</v>
      </c>
      <c r="C3" s="37">
        <v>1982.0</v>
      </c>
      <c r="D3" s="37">
        <v>1983.0</v>
      </c>
      <c r="E3" s="37">
        <v>1984.0</v>
      </c>
      <c r="F3" s="37">
        <v>1985.0</v>
      </c>
      <c r="G3" s="37">
        <v>1986.0</v>
      </c>
      <c r="H3" s="37">
        <v>1987.0</v>
      </c>
      <c r="I3" s="37">
        <v>1988.0</v>
      </c>
      <c r="J3" s="37">
        <v>1989.0</v>
      </c>
      <c r="K3" s="37">
        <v>1990.0</v>
      </c>
      <c r="L3" s="37">
        <v>1991.0</v>
      </c>
      <c r="M3" s="37">
        <v>1992.0</v>
      </c>
      <c r="N3" s="37">
        <v>1993.0</v>
      </c>
      <c r="O3" s="37">
        <v>1994.0</v>
      </c>
      <c r="P3" s="37">
        <v>1995.0</v>
      </c>
      <c r="Q3" s="37">
        <v>1996.0</v>
      </c>
      <c r="R3" s="37">
        <v>1997.0</v>
      </c>
      <c r="S3" s="37">
        <v>1998.0</v>
      </c>
      <c r="T3" s="37">
        <v>1999.0</v>
      </c>
      <c r="U3" s="37">
        <v>2000.0</v>
      </c>
      <c r="V3" s="37">
        <v>2001.0</v>
      </c>
      <c r="W3" s="37">
        <v>2002.0</v>
      </c>
      <c r="X3" s="37">
        <v>2003.0</v>
      </c>
      <c r="Y3" s="37">
        <v>2004.0</v>
      </c>
      <c r="Z3" s="39">
        <v>2005.0</v>
      </c>
      <c r="AA3" s="37">
        <v>2006.0</v>
      </c>
      <c r="AB3" s="37">
        <v>2007.0</v>
      </c>
      <c r="AC3" s="37">
        <v>2008.0</v>
      </c>
      <c r="AD3" s="37">
        <v>2009.0</v>
      </c>
      <c r="AE3" s="39">
        <v>2010.0</v>
      </c>
      <c r="AF3" s="37">
        <v>2011.0</v>
      </c>
      <c r="AG3" s="37">
        <v>2012.0</v>
      </c>
      <c r="AH3" s="37">
        <v>2013.0</v>
      </c>
      <c r="AI3" s="37">
        <v>2014.0</v>
      </c>
      <c r="AJ3" s="40">
        <v>2015.0</v>
      </c>
      <c r="AK3" s="39">
        <v>2016.0</v>
      </c>
      <c r="AL3" s="37">
        <v>2017.0</v>
      </c>
      <c r="AM3" s="37">
        <v>2018.0</v>
      </c>
      <c r="AN3" s="37">
        <v>2019.0</v>
      </c>
      <c r="AO3" s="37" t="s">
        <v>47</v>
      </c>
      <c r="AP3" s="37" t="s">
        <v>48</v>
      </c>
      <c r="AQ3" s="37" t="s">
        <v>50</v>
      </c>
      <c r="AR3" s="37" t="s">
        <v>51</v>
      </c>
      <c r="AS3" s="40" t="s">
        <v>52</v>
      </c>
    </row>
    <row r="4" ht="15.0" customHeight="1">
      <c r="A4" s="41" t="s">
        <v>53</v>
      </c>
      <c r="B4" s="42">
        <v>2364.373148671</v>
      </c>
      <c r="C4" s="43">
        <v>2425.96088626566</v>
      </c>
      <c r="D4" s="43">
        <v>2409.08192077339</v>
      </c>
      <c r="E4" s="43">
        <v>2303.50541568853</v>
      </c>
      <c r="F4" s="43">
        <v>2731.06246668694</v>
      </c>
      <c r="G4" s="43">
        <v>2986.83538186079</v>
      </c>
      <c r="H4" s="43">
        <v>2891.67233323237</v>
      </c>
      <c r="I4" s="43">
        <v>3174.56761570028</v>
      </c>
      <c r="J4" s="43">
        <v>3325.9470911656</v>
      </c>
      <c r="K4" s="43">
        <v>3464.71626487665</v>
      </c>
      <c r="L4" s="43">
        <v>3590.83743590164</v>
      </c>
      <c r="M4" s="43">
        <v>3674.79283197267</v>
      </c>
      <c r="N4" s="43">
        <v>3743.66581239784</v>
      </c>
      <c r="O4" s="43">
        <v>3839.67544980323</v>
      </c>
      <c r="P4" s="43">
        <v>3977.38193565961</v>
      </c>
      <c r="Q4" s="43">
        <v>4133.54821215877</v>
      </c>
      <c r="R4" s="43">
        <v>4305.6796343731</v>
      </c>
      <c r="S4" s="43">
        <v>4475.24138060049</v>
      </c>
      <c r="T4" s="43">
        <v>4703.64368167333</v>
      </c>
      <c r="U4" s="43">
        <v>4840.97119613016</v>
      </c>
      <c r="V4" s="43">
        <v>5024.54210729881</v>
      </c>
      <c r="W4" s="43">
        <v>7817.0844950576</v>
      </c>
      <c r="X4" s="43">
        <v>8364.83210282782</v>
      </c>
      <c r="Y4" s="43">
        <v>8888.57339968001</v>
      </c>
      <c r="Z4" s="44">
        <v>9516.99153985439</v>
      </c>
      <c r="AA4" s="43">
        <v>10222.4749814623</v>
      </c>
      <c r="AB4" s="43">
        <v>10958.4691318035</v>
      </c>
      <c r="AC4" s="43">
        <v>11645.3709794126</v>
      </c>
      <c r="AD4" s="43">
        <v>12330.325547468</v>
      </c>
      <c r="AE4" s="44">
        <v>13048.8927999877</v>
      </c>
      <c r="AF4" s="43">
        <v>13429.3787681081</v>
      </c>
      <c r="AG4" s="43">
        <v>14329.7056219568</v>
      </c>
      <c r="AH4" s="43">
        <v>14750.5232112612</v>
      </c>
      <c r="AI4" s="43">
        <v>15380.3893354201</v>
      </c>
      <c r="AJ4" s="43">
        <v>15952.2201408936</v>
      </c>
      <c r="AK4" s="44">
        <v>16607.3373344803</v>
      </c>
      <c r="AL4" s="43">
        <v>17179.4952866223</v>
      </c>
      <c r="AM4" s="43">
        <v>17544.1477404123</v>
      </c>
      <c r="AN4" s="43">
        <v>17958.5837076799</v>
      </c>
      <c r="AO4" s="43">
        <v>18348.1759353224</v>
      </c>
      <c r="AP4" s="43">
        <v>18738.4144190143</v>
      </c>
      <c r="AQ4" s="43">
        <v>19091.0728164075</v>
      </c>
      <c r="AR4" s="43">
        <v>19306.4902769942</v>
      </c>
      <c r="AS4" s="43">
        <v>19535.8788347626</v>
      </c>
    </row>
    <row r="5" ht="15.0" customHeight="1">
      <c r="A5" s="45" t="s">
        <v>60</v>
      </c>
      <c r="B5" s="46">
        <v>1854.76443814501</v>
      </c>
      <c r="C5" s="9">
        <v>1897.0788510556</v>
      </c>
      <c r="D5" s="9">
        <v>1842.70431063241</v>
      </c>
      <c r="E5" s="9">
        <v>1759.11515097609</v>
      </c>
      <c r="F5" s="9">
        <v>2180.9077140677</v>
      </c>
      <c r="G5" s="9">
        <v>2427.10066191117</v>
      </c>
      <c r="H5" s="9">
        <v>2329.99584211142</v>
      </c>
      <c r="I5" s="9">
        <v>2581.59505401226</v>
      </c>
      <c r="J5" s="9">
        <v>2710.67480671287</v>
      </c>
      <c r="K5" s="9">
        <v>2828.58958446884</v>
      </c>
      <c r="L5" s="9">
        <v>2955.87591303504</v>
      </c>
      <c r="M5" s="9">
        <v>3044.5521592361</v>
      </c>
      <c r="N5" s="9">
        <v>3132.84372895616</v>
      </c>
      <c r="O5" s="9">
        <v>3226.82955026127</v>
      </c>
      <c r="P5" s="9">
        <v>3336.54136197634</v>
      </c>
      <c r="Q5" s="9">
        <v>3462.99595761064</v>
      </c>
      <c r="R5" s="9">
        <v>3611.90526307399</v>
      </c>
      <c r="S5" s="9">
        <v>3752.76963175352</v>
      </c>
      <c r="T5" s="9">
        <v>3949.41520917732</v>
      </c>
      <c r="U5" s="9">
        <v>4067.89764465931</v>
      </c>
      <c r="V5" s="9">
        <v>4222.47740776328</v>
      </c>
      <c r="W5" s="9">
        <v>6977.87878449585</v>
      </c>
      <c r="X5" s="9">
        <v>7493.02419811635</v>
      </c>
      <c r="Y5" s="9">
        <v>7956.6550703748</v>
      </c>
      <c r="Z5" s="48">
        <v>8524.14687966108</v>
      </c>
      <c r="AA5" s="9">
        <v>9162.65025974284</v>
      </c>
      <c r="AB5" s="9">
        <v>9826.76908787918</v>
      </c>
      <c r="AC5" s="9">
        <v>10437.9941284172</v>
      </c>
      <c r="AD5" s="9">
        <v>11046.1555885624</v>
      </c>
      <c r="AE5" s="48">
        <v>11683.89637</v>
      </c>
      <c r="AF5" s="9">
        <v>12017.1920009351</v>
      </c>
      <c r="AG5" s="9">
        <v>12919.5420491711</v>
      </c>
      <c r="AH5" s="9">
        <v>13247.801799818</v>
      </c>
      <c r="AI5" s="9">
        <v>13793.4500095419</v>
      </c>
      <c r="AJ5" s="9">
        <v>14274.9367353108</v>
      </c>
      <c r="AK5" s="48">
        <v>14894.4478217808</v>
      </c>
      <c r="AL5" s="9">
        <v>15437.0497018432</v>
      </c>
      <c r="AM5" s="9">
        <v>15786.43768382</v>
      </c>
      <c r="AN5" s="9">
        <v>16181.9929752204</v>
      </c>
      <c r="AO5" s="9">
        <v>16544.5205637211</v>
      </c>
      <c r="AP5" s="9">
        <v>16920.5238806662</v>
      </c>
      <c r="AQ5" s="9">
        <v>17260.7524065731</v>
      </c>
      <c r="AR5" s="9">
        <v>17585.4290917611</v>
      </c>
      <c r="AS5" s="9">
        <v>17865.5900504429</v>
      </c>
    </row>
    <row r="6" ht="15.0" customHeight="1">
      <c r="A6" s="45" t="s">
        <v>69</v>
      </c>
      <c r="B6" s="46">
        <v>341.41149845013</v>
      </c>
      <c r="C6" s="9">
        <v>361.115701824564</v>
      </c>
      <c r="D6" s="9">
        <v>393.131012864901</v>
      </c>
      <c r="E6" s="9">
        <v>399.685384776125</v>
      </c>
      <c r="F6" s="9">
        <v>428.102847620985</v>
      </c>
      <c r="G6" s="9">
        <v>421.627971362541</v>
      </c>
      <c r="H6" s="9">
        <v>433.433522405148</v>
      </c>
      <c r="I6" s="9">
        <v>444.269941051504</v>
      </c>
      <c r="J6" s="9">
        <v>453.155589971217</v>
      </c>
      <c r="K6" s="9">
        <v>462.218987597708</v>
      </c>
      <c r="L6" s="9">
        <v>454.823212260432</v>
      </c>
      <c r="M6" s="9">
        <v>458.916791773806</v>
      </c>
      <c r="N6" s="9">
        <v>461.670556914485</v>
      </c>
      <c r="O6" s="9">
        <v>466.287557242792</v>
      </c>
      <c r="P6" s="9">
        <v>485.872070533265</v>
      </c>
      <c r="Q6" s="9">
        <v>499.962451686107</v>
      </c>
      <c r="R6" s="9">
        <v>512.461133364187</v>
      </c>
      <c r="S6" s="9">
        <v>526.297842995799</v>
      </c>
      <c r="T6" s="9">
        <v>541.03401467628</v>
      </c>
      <c r="U6" s="9">
        <v>553.478210569871</v>
      </c>
      <c r="V6" s="9">
        <v>570.082862340103</v>
      </c>
      <c r="W6" s="9">
        <v>597.498384684886</v>
      </c>
      <c r="X6" s="9">
        <v>622.559309315811</v>
      </c>
      <c r="Y6" s="9">
        <v>663.025906116855</v>
      </c>
      <c r="Z6" s="48">
        <v>707.871011054863</v>
      </c>
      <c r="AA6" s="9">
        <v>756.734193610455</v>
      </c>
      <c r="AB6" s="9">
        <v>809.164936141596</v>
      </c>
      <c r="AC6" s="9">
        <v>864.18816017686</v>
      </c>
      <c r="AD6" s="9">
        <v>920.199219496484</v>
      </c>
      <c r="AE6" s="48">
        <v>979.564052540116</v>
      </c>
      <c r="AF6" s="9">
        <v>999.404037401148</v>
      </c>
      <c r="AG6" s="9">
        <v>972.762785443873</v>
      </c>
      <c r="AH6" s="9">
        <v>1030.937334731</v>
      </c>
      <c r="AI6" s="9">
        <v>1086.84700346753</v>
      </c>
      <c r="AJ6" s="9">
        <v>1151.32338753638</v>
      </c>
      <c r="AK6" s="48">
        <v>1185.11844037653</v>
      </c>
      <c r="AL6" s="9">
        <v>1204.20524963132</v>
      </c>
      <c r="AM6" s="9">
        <v>1208.12803913481</v>
      </c>
      <c r="AN6" s="9">
        <v>1210.05537775957</v>
      </c>
      <c r="AO6" s="9">
        <v>1233.11480680365</v>
      </c>
      <c r="AP6" s="9">
        <v>1240.21535241437</v>
      </c>
      <c r="AQ6" s="9">
        <v>1247.71941182469</v>
      </c>
      <c r="AR6" s="9">
        <v>1140.23580511701</v>
      </c>
      <c r="AS6" s="9">
        <v>1087.31388531152</v>
      </c>
    </row>
    <row r="7" ht="15.0" customHeight="1">
      <c r="A7" s="45" t="s">
        <v>76</v>
      </c>
      <c r="B7" s="46">
        <v>77.8979858942358</v>
      </c>
      <c r="C7" s="9">
        <v>73.9102497725898</v>
      </c>
      <c r="D7" s="9">
        <v>75.2827785472647</v>
      </c>
      <c r="E7" s="9">
        <v>76.6941410273238</v>
      </c>
      <c r="F7" s="9">
        <v>78.082445994811</v>
      </c>
      <c r="G7" s="9">
        <v>86.5949155703698</v>
      </c>
      <c r="H7" s="9">
        <v>87.5942767073679</v>
      </c>
      <c r="I7" s="9">
        <v>88.9079481473197</v>
      </c>
      <c r="J7" s="9">
        <v>67.3073063039726</v>
      </c>
      <c r="K7" s="9">
        <v>72.6135680787435</v>
      </c>
      <c r="L7" s="9">
        <v>74.7918962401418</v>
      </c>
      <c r="M7" s="9">
        <v>76.5121080333351</v>
      </c>
      <c r="N7" s="9">
        <v>78.0423987361335</v>
      </c>
      <c r="O7" s="9">
        <v>80.071459842461</v>
      </c>
      <c r="P7" s="9">
        <v>81.8329324476251</v>
      </c>
      <c r="Q7" s="9">
        <v>82.2418999074531</v>
      </c>
      <c r="R7" s="9">
        <v>82.9821674163405</v>
      </c>
      <c r="S7" s="9">
        <v>83.9778878934588</v>
      </c>
      <c r="T7" s="9">
        <v>85.070085857391</v>
      </c>
      <c r="U7" s="9">
        <v>86.3461371452519</v>
      </c>
      <c r="V7" s="9">
        <v>88.0729039727746</v>
      </c>
      <c r="W7" s="9">
        <v>88.6902232016426</v>
      </c>
      <c r="X7" s="9">
        <v>90.0214972912647</v>
      </c>
      <c r="Y7" s="9">
        <v>95.8730213227562</v>
      </c>
      <c r="Z7" s="48">
        <v>101.546797699892</v>
      </c>
      <c r="AA7" s="9">
        <v>107.658072139179</v>
      </c>
      <c r="AB7" s="9">
        <v>114.249344399887</v>
      </c>
      <c r="AC7" s="9">
        <v>121.218552702736</v>
      </c>
      <c r="AD7" s="9">
        <v>128.313123504664</v>
      </c>
      <c r="AE7" s="48">
        <v>135.720901947532</v>
      </c>
      <c r="AF7" s="9">
        <v>142.459377620504</v>
      </c>
      <c r="AG7" s="9">
        <v>146.094079889878</v>
      </c>
      <c r="AH7" s="9">
        <v>154.314171272526</v>
      </c>
      <c r="AI7" s="9">
        <v>161.338201700163</v>
      </c>
      <c r="AJ7" s="9">
        <v>167.258406859318</v>
      </c>
      <c r="AK7" s="48">
        <v>171.642648509657</v>
      </c>
      <c r="AL7" s="9">
        <v>177.326970664842</v>
      </c>
      <c r="AM7" s="9">
        <v>182.747932852256</v>
      </c>
      <c r="AN7" s="9">
        <v>187.474871712379</v>
      </c>
      <c r="AO7" s="9">
        <v>190.508051569497</v>
      </c>
      <c r="AP7" s="9">
        <v>193.224320716395</v>
      </c>
      <c r="AQ7" s="9">
        <v>196.357193997426</v>
      </c>
      <c r="AR7" s="9">
        <v>199.826631335362</v>
      </c>
      <c r="AS7" s="9">
        <v>204.678847933101</v>
      </c>
    </row>
    <row r="8" ht="15.0" customHeight="1">
      <c r="A8" s="45" t="s">
        <v>84</v>
      </c>
      <c r="B8" s="46">
        <v>90.2992261816225</v>
      </c>
      <c r="C8" s="9">
        <v>93.8560836129055</v>
      </c>
      <c r="D8" s="9">
        <v>97.9638187288191</v>
      </c>
      <c r="E8" s="9">
        <v>68.0107389089915</v>
      </c>
      <c r="F8" s="9">
        <v>43.9694590034454</v>
      </c>
      <c r="G8" s="9">
        <v>51.5118330167142</v>
      </c>
      <c r="H8" s="9">
        <v>40.6486920084326</v>
      </c>
      <c r="I8" s="9">
        <v>59.7946724891941</v>
      </c>
      <c r="J8" s="9">
        <v>94.8093881775421</v>
      </c>
      <c r="K8" s="9">
        <v>101.294124731358</v>
      </c>
      <c r="L8" s="9">
        <v>105.346414366026</v>
      </c>
      <c r="M8" s="9">
        <v>94.8117729294236</v>
      </c>
      <c r="N8" s="9">
        <v>71.1091277910529</v>
      </c>
      <c r="O8" s="9">
        <v>66.486882456702</v>
      </c>
      <c r="P8" s="9">
        <v>73.1355707023722</v>
      </c>
      <c r="Q8" s="9">
        <v>88.347902954571</v>
      </c>
      <c r="R8" s="9">
        <v>98.3310705185727</v>
      </c>
      <c r="S8" s="9">
        <v>112.196017957714</v>
      </c>
      <c r="T8" s="9">
        <v>128.124371962339</v>
      </c>
      <c r="U8" s="9">
        <v>133.249203755719</v>
      </c>
      <c r="V8" s="9">
        <v>143.90893322265</v>
      </c>
      <c r="W8" s="9">
        <v>153.017102675223</v>
      </c>
      <c r="X8" s="9">
        <v>159.227098104395</v>
      </c>
      <c r="Y8" s="9">
        <v>173.0194018656</v>
      </c>
      <c r="Z8" s="48">
        <v>183.426851438561</v>
      </c>
      <c r="AA8" s="9">
        <v>195.432455969859</v>
      </c>
      <c r="AB8" s="9">
        <v>208.285763382797</v>
      </c>
      <c r="AC8" s="9">
        <v>221.970138115831</v>
      </c>
      <c r="AD8" s="9">
        <v>235.657615904523</v>
      </c>
      <c r="AE8" s="48">
        <v>249.7114755</v>
      </c>
      <c r="AF8" s="9">
        <v>270.323352151372</v>
      </c>
      <c r="AG8" s="9">
        <v>291.306707452042</v>
      </c>
      <c r="AH8" s="9">
        <v>317.469905439655</v>
      </c>
      <c r="AI8" s="9">
        <v>338.754120710592</v>
      </c>
      <c r="AJ8" s="9">
        <v>358.701611187196</v>
      </c>
      <c r="AK8" s="48">
        <v>356.128423813315</v>
      </c>
      <c r="AL8" s="9">
        <v>360.913364482897</v>
      </c>
      <c r="AM8" s="9">
        <v>366.834084605183</v>
      </c>
      <c r="AN8" s="9">
        <v>379.060482987587</v>
      </c>
      <c r="AO8" s="9">
        <v>380.032513228134</v>
      </c>
      <c r="AP8" s="9">
        <v>384.450865217316</v>
      </c>
      <c r="AQ8" s="9">
        <v>386.243804012372</v>
      </c>
      <c r="AR8" s="9">
        <v>380.998748780803</v>
      </c>
      <c r="AS8" s="9">
        <v>378.296051075037</v>
      </c>
    </row>
    <row r="9" ht="15.0" customHeight="1">
      <c r="A9" s="52" t="s">
        <v>98</v>
      </c>
      <c r="B9" s="42">
        <v>11753.4030633401</v>
      </c>
      <c r="C9" s="43">
        <v>10189.0957277052</v>
      </c>
      <c r="D9" s="43">
        <v>8255.76047348695</v>
      </c>
      <c r="E9" s="43">
        <v>8392.24588729426</v>
      </c>
      <c r="F9" s="43">
        <v>8768.29720652977</v>
      </c>
      <c r="G9" s="43">
        <v>8347.53425120557</v>
      </c>
      <c r="H9" s="43">
        <v>8799.37576661691</v>
      </c>
      <c r="I9" s="43">
        <v>9514.80513614897</v>
      </c>
      <c r="J9" s="43">
        <v>9442.82731652999</v>
      </c>
      <c r="K9" s="43">
        <v>11148.1005752696</v>
      </c>
      <c r="L9" s="43">
        <v>10910.5643105306</v>
      </c>
      <c r="M9" s="43">
        <v>11578.9821765029</v>
      </c>
      <c r="N9" s="43">
        <v>10790.306040367</v>
      </c>
      <c r="O9" s="43">
        <v>10151.6966814412</v>
      </c>
      <c r="P9" s="43">
        <v>9845.97374576674</v>
      </c>
      <c r="Q9" s="43">
        <v>10402.1876455486</v>
      </c>
      <c r="R9" s="43">
        <v>10599.6989514392</v>
      </c>
      <c r="S9" s="43">
        <v>10641.2635198298</v>
      </c>
      <c r="T9" s="43">
        <v>10201.8120730631</v>
      </c>
      <c r="U9" s="43">
        <v>10962.8429897787</v>
      </c>
      <c r="V9" s="43">
        <v>11576.3152188096</v>
      </c>
      <c r="W9" s="43">
        <v>11725.424678447</v>
      </c>
      <c r="X9" s="43">
        <v>13151.2259006519</v>
      </c>
      <c r="Y9" s="43">
        <v>13382.8618304066</v>
      </c>
      <c r="Z9" s="44">
        <v>13609.7600229545</v>
      </c>
      <c r="AA9" s="43">
        <v>13342.4700288668</v>
      </c>
      <c r="AB9" s="43">
        <v>13085.2666273167</v>
      </c>
      <c r="AC9" s="43">
        <v>12817.7861381206</v>
      </c>
      <c r="AD9" s="43">
        <v>13138.9462502696</v>
      </c>
      <c r="AE9" s="44">
        <v>13826.4338989223</v>
      </c>
      <c r="AF9" s="43">
        <v>14986.6220000285</v>
      </c>
      <c r="AG9" s="43">
        <v>15350.4519312603</v>
      </c>
      <c r="AH9" s="43">
        <v>15682.4645502829</v>
      </c>
      <c r="AI9" s="43">
        <v>16742.1534317188</v>
      </c>
      <c r="AJ9" s="43">
        <v>16366.656929039</v>
      </c>
      <c r="AK9" s="44">
        <v>14918.1465287857</v>
      </c>
      <c r="AL9" s="43">
        <v>15238.2800464478</v>
      </c>
      <c r="AM9" s="43">
        <v>15523.427555045</v>
      </c>
      <c r="AN9" s="43">
        <v>15882.3464319164</v>
      </c>
      <c r="AO9" s="43">
        <v>14953.7151925253</v>
      </c>
      <c r="AP9" s="43">
        <v>14883.7736378795</v>
      </c>
      <c r="AQ9" s="43">
        <v>14195.58319045</v>
      </c>
      <c r="AR9" s="43">
        <v>14298.465812531</v>
      </c>
      <c r="AS9" s="43">
        <v>14648.1048750946</v>
      </c>
    </row>
    <row r="10" ht="15.0" customHeight="1">
      <c r="A10" s="45" t="s">
        <v>106</v>
      </c>
      <c r="B10" s="46">
        <v>5044.55342763444</v>
      </c>
      <c r="C10" s="9">
        <v>4507.93413073174</v>
      </c>
      <c r="D10" s="9">
        <v>4096.99252196395</v>
      </c>
      <c r="E10" s="9">
        <v>4602.27457639464</v>
      </c>
      <c r="F10" s="9">
        <v>4962.81158320337</v>
      </c>
      <c r="G10" s="9">
        <v>4860.74520855859</v>
      </c>
      <c r="H10" s="9">
        <v>4737.22942344364</v>
      </c>
      <c r="I10" s="9">
        <v>4856.72960581756</v>
      </c>
      <c r="J10" s="9">
        <v>5435.66826728801</v>
      </c>
      <c r="K10" s="9">
        <v>6860.85302125821</v>
      </c>
      <c r="L10" s="9">
        <v>6265.29571602672</v>
      </c>
      <c r="M10" s="9">
        <v>6411.86396358039</v>
      </c>
      <c r="N10" s="9">
        <v>6415.38313587473</v>
      </c>
      <c r="O10" s="9">
        <v>6246.67221081965</v>
      </c>
      <c r="P10" s="9">
        <v>6393.05314082522</v>
      </c>
      <c r="Q10" s="9">
        <v>6850.37208614166</v>
      </c>
      <c r="R10" s="9">
        <v>6952.08558411843</v>
      </c>
      <c r="S10" s="9">
        <v>7103.38483125408</v>
      </c>
      <c r="T10" s="9">
        <v>6572.89411806222</v>
      </c>
      <c r="U10" s="9">
        <v>7302.98853860174</v>
      </c>
      <c r="V10" s="9">
        <v>7685.37219726135</v>
      </c>
      <c r="W10" s="9">
        <v>7247.85703567615</v>
      </c>
      <c r="X10" s="9">
        <v>8975.81209672865</v>
      </c>
      <c r="Y10" s="9">
        <v>9275.14442202383</v>
      </c>
      <c r="Z10" s="48">
        <v>9323.75084764741</v>
      </c>
      <c r="AA10" s="9">
        <v>8907.46878274606</v>
      </c>
      <c r="AB10" s="9">
        <v>8508.82161791653</v>
      </c>
      <c r="AC10" s="9">
        <v>7989.18737627363</v>
      </c>
      <c r="AD10" s="9">
        <v>8030.01011551599</v>
      </c>
      <c r="AE10" s="48">
        <v>8454.55419573363</v>
      </c>
      <c r="AF10" s="9">
        <v>8658.05489534984</v>
      </c>
      <c r="AG10" s="9">
        <v>8244.38608512394</v>
      </c>
      <c r="AH10" s="9">
        <v>7188.15151834274</v>
      </c>
      <c r="AI10" s="9">
        <v>7107.02963316744</v>
      </c>
      <c r="AJ10" s="9">
        <v>6732.50755695461</v>
      </c>
      <c r="AK10" s="48">
        <v>5759.81674854717</v>
      </c>
      <c r="AL10" s="9">
        <v>6025.780004632</v>
      </c>
      <c r="AM10" s="9">
        <v>6092.47709589568</v>
      </c>
      <c r="AN10" s="9">
        <v>6362.6307689197</v>
      </c>
      <c r="AO10" s="9">
        <v>5819.39123484556</v>
      </c>
      <c r="AP10" s="9">
        <v>5366.19340838309</v>
      </c>
      <c r="AQ10" s="9">
        <v>4391.42471932088</v>
      </c>
      <c r="AR10" s="9">
        <v>4266.50498787555</v>
      </c>
      <c r="AS10" s="9">
        <v>4473.23740923944</v>
      </c>
    </row>
    <row r="11" ht="15.0" customHeight="1">
      <c r="A11" s="45" t="s">
        <v>113</v>
      </c>
      <c r="B11" s="46">
        <v>4977.41670164425</v>
      </c>
      <c r="C11" s="9">
        <v>4453.09363264491</v>
      </c>
      <c r="D11" s="9">
        <v>4052.97767901869</v>
      </c>
      <c r="E11" s="9">
        <v>4559.19620883893</v>
      </c>
      <c r="F11" s="9">
        <v>4918.27249673693</v>
      </c>
      <c r="G11" s="9">
        <v>4825.49751524441</v>
      </c>
      <c r="H11" s="9">
        <v>4704.42342860546</v>
      </c>
      <c r="I11" s="9">
        <v>4828.68226058598</v>
      </c>
      <c r="J11" s="9">
        <v>5407.00945685191</v>
      </c>
      <c r="K11" s="9">
        <v>6831.7676844209</v>
      </c>
      <c r="L11" s="9">
        <v>6224.45206562773</v>
      </c>
      <c r="M11" s="9">
        <v>6381.25961375592</v>
      </c>
      <c r="N11" s="9">
        <v>6394.60256257144</v>
      </c>
      <c r="O11" s="9">
        <v>6229.45863300167</v>
      </c>
      <c r="P11" s="9">
        <v>6375.97058221711</v>
      </c>
      <c r="Q11" s="9">
        <v>6832.83673987384</v>
      </c>
      <c r="R11" s="9">
        <v>6933.58095255216</v>
      </c>
      <c r="S11" s="9">
        <v>7083.9875736287</v>
      </c>
      <c r="T11" s="9">
        <v>6552.68850560655</v>
      </c>
      <c r="U11" s="9">
        <v>7281.94386071305</v>
      </c>
      <c r="V11" s="9">
        <v>7662.97986365912</v>
      </c>
      <c r="W11" s="9">
        <v>7225.67821178555</v>
      </c>
      <c r="X11" s="9">
        <v>8952.61517488799</v>
      </c>
      <c r="Y11" s="9">
        <v>9248.05162562323</v>
      </c>
      <c r="Z11" s="48">
        <v>9294.05143440908</v>
      </c>
      <c r="AA11" s="9">
        <v>8874.69993752221</v>
      </c>
      <c r="AB11" s="9">
        <v>8471.94832034344</v>
      </c>
      <c r="AC11" s="9">
        <v>7947.71834825063</v>
      </c>
      <c r="AD11" s="9">
        <v>7983.6279590253</v>
      </c>
      <c r="AE11" s="48">
        <v>8402.67640018754</v>
      </c>
      <c r="AF11" s="9">
        <v>8598.63662099022</v>
      </c>
      <c r="AG11" s="9">
        <v>8173.25582530185</v>
      </c>
      <c r="AH11" s="9">
        <v>7105.28339538193</v>
      </c>
      <c r="AI11" s="9">
        <v>7011.8147654706</v>
      </c>
      <c r="AJ11" s="9">
        <v>6629.96374889967</v>
      </c>
      <c r="AK11" s="48">
        <v>5672.20700778789</v>
      </c>
      <c r="AL11" s="9">
        <v>5938.04768638714</v>
      </c>
      <c r="AM11" s="9">
        <v>5995.87507094825</v>
      </c>
      <c r="AN11" s="9">
        <v>6270.85916559411</v>
      </c>
      <c r="AO11" s="9">
        <v>5713.19588478384</v>
      </c>
      <c r="AP11" s="9">
        <v>5239.05438027388</v>
      </c>
      <c r="AQ11" s="9">
        <v>4231.90339705334</v>
      </c>
      <c r="AR11" s="9">
        <v>4138.15949286058</v>
      </c>
      <c r="AS11" s="9">
        <v>4367.24288378889</v>
      </c>
    </row>
    <row r="12" ht="15.0" customHeight="1">
      <c r="A12" s="45" t="s">
        <v>119</v>
      </c>
      <c r="B12" s="46">
        <v>21.3256839083715</v>
      </c>
      <c r="C12" s="9">
        <v>10.2887071487757</v>
      </c>
      <c r="D12" s="9">
        <v>9.72750494066069</v>
      </c>
      <c r="E12" s="9">
        <v>14.030055202876</v>
      </c>
      <c r="F12" s="9">
        <v>26.1894363787019</v>
      </c>
      <c r="G12" s="9">
        <v>26.1894363787019</v>
      </c>
      <c r="H12" s="9">
        <v>21.5127513110765</v>
      </c>
      <c r="I12" s="9">
        <v>15.5265944245161</v>
      </c>
      <c r="J12" s="9">
        <v>15.3395270218111</v>
      </c>
      <c r="K12" s="9">
        <v>15.5265944245161</v>
      </c>
      <c r="L12" s="9">
        <v>27.498908197637</v>
      </c>
      <c r="M12" s="9">
        <v>17.3972684515662</v>
      </c>
      <c r="N12" s="9">
        <v>6.92149390008549</v>
      </c>
      <c r="O12" s="9">
        <v>2.8060110405752</v>
      </c>
      <c r="P12" s="9">
        <v>2.24480883246016</v>
      </c>
      <c r="Q12" s="9">
        <v>2.43187623516517</v>
      </c>
      <c r="R12" s="9">
        <v>2.61894363787019</v>
      </c>
      <c r="S12" s="9">
        <v>2.61894363787019</v>
      </c>
      <c r="T12" s="9">
        <v>2.8060110405752</v>
      </c>
      <c r="U12" s="9">
        <v>2.99307844328021</v>
      </c>
      <c r="V12" s="9">
        <v>2.72995066804679</v>
      </c>
      <c r="W12" s="9">
        <v>1.70621916752924</v>
      </c>
      <c r="X12" s="9">
        <v>1.70621916752924</v>
      </c>
      <c r="Y12" s="9">
        <v>1.87684108428217</v>
      </c>
      <c r="Z12" s="48">
        <v>2.06452519271038</v>
      </c>
      <c r="AA12" s="9">
        <v>2.27097771198142</v>
      </c>
      <c r="AB12" s="9">
        <v>2.4979729453623</v>
      </c>
      <c r="AC12" s="9">
        <v>2.71732269323413</v>
      </c>
      <c r="AD12" s="9">
        <v>2.95785363535997</v>
      </c>
      <c r="AE12" s="48">
        <v>3.21823083982004</v>
      </c>
      <c r="AF12" s="9">
        <v>3.87469346216955</v>
      </c>
      <c r="AG12" s="9">
        <v>4.57663282115616</v>
      </c>
      <c r="AH12" s="9">
        <v>5.49676399116001</v>
      </c>
      <c r="AI12" s="9">
        <v>6.58769540014227</v>
      </c>
      <c r="AJ12" s="9">
        <v>7.27205475141587</v>
      </c>
      <c r="AK12" s="48">
        <v>7.34465102301567</v>
      </c>
      <c r="AL12" s="9">
        <v>7.23800439720401</v>
      </c>
      <c r="AM12" s="9">
        <v>6.8172271975269</v>
      </c>
      <c r="AN12" s="9">
        <v>7.71363207739963</v>
      </c>
      <c r="AO12" s="9">
        <v>6.13269121568192</v>
      </c>
      <c r="AP12" s="9">
        <v>7.71169697295401</v>
      </c>
      <c r="AQ12" s="9">
        <v>8.1930194473522</v>
      </c>
      <c r="AR12" s="9">
        <v>7.24547050490996</v>
      </c>
      <c r="AS12" s="9">
        <v>2.49341579778764</v>
      </c>
    </row>
    <row r="13" ht="15.0" customHeight="1">
      <c r="A13" s="45" t="s">
        <v>127</v>
      </c>
      <c r="B13" s="46">
        <v>7.86296678914805</v>
      </c>
      <c r="C13" s="9">
        <v>5.87091124663211</v>
      </c>
      <c r="D13" s="9">
        <v>4.82225578491628</v>
      </c>
      <c r="E13" s="9">
        <v>3.68393833205003</v>
      </c>
      <c r="F13" s="9">
        <v>2.6703679973061</v>
      </c>
      <c r="G13" s="9">
        <v>0.623735590611645</v>
      </c>
      <c r="H13" s="9">
        <v>2.07392083878372</v>
      </c>
      <c r="I13" s="9">
        <v>2.3623985494416</v>
      </c>
      <c r="J13" s="9">
        <v>2.40917871873748</v>
      </c>
      <c r="K13" s="9">
        <v>2.14409109272753</v>
      </c>
      <c r="L13" s="9">
        <v>1.47357533282001</v>
      </c>
      <c r="M13" s="9">
        <v>0.873229826856303</v>
      </c>
      <c r="N13" s="9">
        <v>0.908314953828207</v>
      </c>
      <c r="O13" s="9">
        <v>1.06814719892244</v>
      </c>
      <c r="P13" s="9">
        <v>1.13831745286625</v>
      </c>
      <c r="Q13" s="9">
        <v>1.23967448634064</v>
      </c>
      <c r="R13" s="9">
        <v>1.13441910542493</v>
      </c>
      <c r="S13" s="9">
        <v>1.14221580030757</v>
      </c>
      <c r="T13" s="9">
        <v>1.16950423239683</v>
      </c>
      <c r="U13" s="9">
        <v>1.20458935936874</v>
      </c>
      <c r="V13" s="9">
        <v>1.1307147056175</v>
      </c>
      <c r="W13" s="9">
        <v>1.13604826554966</v>
      </c>
      <c r="X13" s="9">
        <v>1.0933797860924</v>
      </c>
      <c r="Y13" s="9">
        <v>1.21249595791059</v>
      </c>
      <c r="Z13" s="48">
        <v>1.34465801732285</v>
      </c>
      <c r="AA13" s="9">
        <v>1.50879047957796</v>
      </c>
      <c r="AB13" s="9">
        <v>1.68986493666632</v>
      </c>
      <c r="AC13" s="9">
        <v>1.89230835610232</v>
      </c>
      <c r="AD13" s="9">
        <v>2.11020713375206</v>
      </c>
      <c r="AE13" s="48">
        <v>2.35484329489438</v>
      </c>
      <c r="AF13" s="9">
        <v>2.70696890374109</v>
      </c>
      <c r="AG13" s="9">
        <v>2.88958356218206</v>
      </c>
      <c r="AH13" s="9">
        <v>3.32663859096909</v>
      </c>
      <c r="AI13" s="9">
        <v>3.87893929825579</v>
      </c>
      <c r="AJ13" s="9">
        <v>4.16091848684437</v>
      </c>
      <c r="AK13" s="48">
        <v>5.02379114616733</v>
      </c>
      <c r="AL13" s="9">
        <v>6.09713947726865</v>
      </c>
      <c r="AM13" s="9">
        <v>7.70290007124752</v>
      </c>
      <c r="AN13" s="9">
        <v>6.59527478527253</v>
      </c>
      <c r="AO13" s="9">
        <v>6.20955519551809</v>
      </c>
      <c r="AP13" s="9">
        <v>8.33248586133702</v>
      </c>
      <c r="AQ13" s="9">
        <v>9.66428343062469</v>
      </c>
      <c r="AR13" s="9">
        <v>14.5273883642108</v>
      </c>
      <c r="AS13" s="9">
        <v>25.4568387994439</v>
      </c>
    </row>
    <row r="14" ht="15.0" customHeight="1">
      <c r="A14" s="45" t="s">
        <v>136</v>
      </c>
      <c r="B14" s="46">
        <v>37.9480752926708</v>
      </c>
      <c r="C14" s="9">
        <v>38.6808796914226</v>
      </c>
      <c r="D14" s="9">
        <v>29.4650822196872</v>
      </c>
      <c r="E14" s="9">
        <v>25.3643740207787</v>
      </c>
      <c r="F14" s="9">
        <v>15.6792820904319</v>
      </c>
      <c r="G14" s="9">
        <v>8.43452134486416</v>
      </c>
      <c r="H14" s="9">
        <v>9.219322688326</v>
      </c>
      <c r="I14" s="9">
        <v>10.1583522576226</v>
      </c>
      <c r="J14" s="9">
        <v>10.9101046955484</v>
      </c>
      <c r="K14" s="9">
        <v>11.4146513200649</v>
      </c>
      <c r="L14" s="9">
        <v>11.8711668685356</v>
      </c>
      <c r="M14" s="9">
        <v>12.3338515460398</v>
      </c>
      <c r="N14" s="9">
        <v>12.9507644493787</v>
      </c>
      <c r="O14" s="9">
        <v>13.3394195784822</v>
      </c>
      <c r="P14" s="9">
        <v>13.6994323227878</v>
      </c>
      <c r="Q14" s="9">
        <v>13.8637955463203</v>
      </c>
      <c r="R14" s="9">
        <v>14.7512688229807</v>
      </c>
      <c r="S14" s="9">
        <v>15.6360981871982</v>
      </c>
      <c r="T14" s="9">
        <v>16.2300971826988</v>
      </c>
      <c r="U14" s="9">
        <v>16.8470100860376</v>
      </c>
      <c r="V14" s="9">
        <v>18.5316682285608</v>
      </c>
      <c r="W14" s="9">
        <v>19.3365564575222</v>
      </c>
      <c r="X14" s="9">
        <v>20.3973228870422</v>
      </c>
      <c r="Y14" s="9">
        <v>24.0034593584133</v>
      </c>
      <c r="Z14" s="48">
        <v>26.2902300282986</v>
      </c>
      <c r="AA14" s="9">
        <v>28.9890770322894</v>
      </c>
      <c r="AB14" s="9">
        <v>32.6854596910625</v>
      </c>
      <c r="AC14" s="9">
        <v>36.8593969736632</v>
      </c>
      <c r="AD14" s="9">
        <v>41.3140957215783</v>
      </c>
      <c r="AE14" s="48">
        <v>46.3047214113734</v>
      </c>
      <c r="AF14" s="9">
        <v>52.8366119937147</v>
      </c>
      <c r="AG14" s="9">
        <v>63.6640434387505</v>
      </c>
      <c r="AH14" s="9">
        <v>74.0447203786819</v>
      </c>
      <c r="AI14" s="9">
        <v>84.7482329984481</v>
      </c>
      <c r="AJ14" s="9">
        <v>91.1108348166794</v>
      </c>
      <c r="AK14" s="48">
        <v>75.2412985900945</v>
      </c>
      <c r="AL14" s="9">
        <v>74.3971743703874</v>
      </c>
      <c r="AM14" s="9">
        <v>82.0818976786599</v>
      </c>
      <c r="AN14" s="9">
        <v>77.4626964629097</v>
      </c>
      <c r="AO14" s="9">
        <v>93.8531036505187</v>
      </c>
      <c r="AP14" s="9">
        <v>111.094845274925</v>
      </c>
      <c r="AQ14" s="9">
        <v>141.66401938957</v>
      </c>
      <c r="AR14" s="9">
        <v>106.57263614584</v>
      </c>
      <c r="AS14" s="9">
        <v>78.0442708533226</v>
      </c>
    </row>
    <row r="15" ht="15.0" customHeight="1">
      <c r="A15" s="45" t="s">
        <v>141</v>
      </c>
      <c r="B15" s="46">
        <v>5838.89438088257</v>
      </c>
      <c r="C15" s="9">
        <v>4984.78684529807</v>
      </c>
      <c r="D15" s="9">
        <v>3537.72255738122</v>
      </c>
      <c r="E15" s="9">
        <v>3282.51719831373</v>
      </c>
      <c r="F15" s="9">
        <v>3453.71678143533</v>
      </c>
      <c r="G15" s="9">
        <v>3137.50881452414</v>
      </c>
      <c r="H15" s="9">
        <v>3680.71366899727</v>
      </c>
      <c r="I15" s="9">
        <v>4237.79556763059</v>
      </c>
      <c r="J15" s="9">
        <v>3568.6866405502</v>
      </c>
      <c r="K15" s="9">
        <v>3825.609023671</v>
      </c>
      <c r="L15" s="9">
        <v>4165.3919566108</v>
      </c>
      <c r="M15" s="9">
        <v>4667.75677060411</v>
      </c>
      <c r="N15" s="9">
        <v>3850.41060287946</v>
      </c>
      <c r="O15" s="9">
        <v>3364.56845395872</v>
      </c>
      <c r="P15" s="9">
        <v>2898.47425433258</v>
      </c>
      <c r="Q15" s="9">
        <v>2990.68868179745</v>
      </c>
      <c r="R15" s="9">
        <v>3051.9107849119</v>
      </c>
      <c r="S15" s="9">
        <v>2908.21379942392</v>
      </c>
      <c r="T15" s="9">
        <v>2975.61523433913</v>
      </c>
      <c r="U15" s="9">
        <v>2980.65172393829</v>
      </c>
      <c r="V15" s="9">
        <v>3050.50505012699</v>
      </c>
      <c r="W15" s="9">
        <v>3591.40208157616</v>
      </c>
      <c r="X15" s="9">
        <v>3203.24203365622</v>
      </c>
      <c r="Y15" s="9">
        <v>3169.21112640171</v>
      </c>
      <c r="Z15" s="48">
        <v>3242.19680844201</v>
      </c>
      <c r="AA15" s="9">
        <v>3268.55008436389</v>
      </c>
      <c r="AB15" s="9">
        <v>3271.65447988431</v>
      </c>
      <c r="AC15" s="9">
        <v>3369.71253868069</v>
      </c>
      <c r="AD15" s="9">
        <v>3491.29354289077</v>
      </c>
      <c r="AE15" s="48">
        <v>3578.6417180092</v>
      </c>
      <c r="AF15" s="9">
        <v>4216.19130094186</v>
      </c>
      <c r="AG15" s="9">
        <v>4783.65942828107</v>
      </c>
      <c r="AH15" s="9">
        <v>5826.35844917786</v>
      </c>
      <c r="AI15" s="9">
        <v>6684.21773918771</v>
      </c>
      <c r="AJ15" s="9">
        <v>6586.61863581102</v>
      </c>
      <c r="AK15" s="48">
        <v>6302.23244682811</v>
      </c>
      <c r="AL15" s="9">
        <v>6288.8967970061</v>
      </c>
      <c r="AM15" s="9">
        <v>6420.59028167914</v>
      </c>
      <c r="AN15" s="9">
        <v>6469.83187980392</v>
      </c>
      <c r="AO15" s="9">
        <v>6291.5921331146</v>
      </c>
      <c r="AP15" s="9">
        <v>6502.25760360225</v>
      </c>
      <c r="AQ15" s="9">
        <v>6661.39183984624</v>
      </c>
      <c r="AR15" s="9">
        <v>6754.95928143137</v>
      </c>
      <c r="AS15" s="9">
        <v>6848.46132332968</v>
      </c>
    </row>
    <row r="16" ht="15.0" customHeight="1">
      <c r="A16" s="45" t="s">
        <v>146</v>
      </c>
      <c r="B16" s="46">
        <v>36.5771941343078</v>
      </c>
      <c r="C16" s="9">
        <v>38.4920258785184</v>
      </c>
      <c r="D16" s="9">
        <v>27.8627557882067</v>
      </c>
      <c r="E16" s="9">
        <v>27.4328956007309</v>
      </c>
      <c r="F16" s="9">
        <v>39.07819886144</v>
      </c>
      <c r="G16" s="9">
        <v>19.6563340273043</v>
      </c>
      <c r="H16" s="9">
        <v>28.9178671574656</v>
      </c>
      <c r="I16" s="9">
        <v>33.0601562367782</v>
      </c>
      <c r="J16" s="9">
        <v>43.0250969464454</v>
      </c>
      <c r="K16" s="9">
        <v>42.5170803612467</v>
      </c>
      <c r="L16" s="9">
        <v>45.3307106792704</v>
      </c>
      <c r="M16" s="9">
        <v>44.4319121054573</v>
      </c>
      <c r="N16" s="9">
        <v>44.0020519179814</v>
      </c>
      <c r="O16" s="9">
        <v>43.337722537337</v>
      </c>
      <c r="P16" s="9">
        <v>46.0731964576378</v>
      </c>
      <c r="Q16" s="9">
        <v>51.3487533039322</v>
      </c>
      <c r="R16" s="9">
        <v>50.5281111278419</v>
      </c>
      <c r="S16" s="9">
        <v>45.3487413458982</v>
      </c>
      <c r="T16" s="9">
        <v>47.4394209553067</v>
      </c>
      <c r="U16" s="9">
        <v>46.9832726768903</v>
      </c>
      <c r="V16" s="9">
        <v>136.775875127511</v>
      </c>
      <c r="W16" s="9">
        <v>125.998312434199</v>
      </c>
      <c r="X16" s="9">
        <v>137.959608332663</v>
      </c>
      <c r="Y16" s="9">
        <v>151.756055298663</v>
      </c>
      <c r="Z16" s="48">
        <v>166.931615301712</v>
      </c>
      <c r="AA16" s="9">
        <v>183.66150178725</v>
      </c>
      <c r="AB16" s="9">
        <v>202.174853399475</v>
      </c>
      <c r="AC16" s="9">
        <v>222.392313769825</v>
      </c>
      <c r="AD16" s="9">
        <v>237.845132495965</v>
      </c>
      <c r="AE16" s="48">
        <v>255.160050627403</v>
      </c>
      <c r="AF16" s="9">
        <v>270.998548088005</v>
      </c>
      <c r="AG16" s="9">
        <v>223.520191752662</v>
      </c>
      <c r="AH16" s="9">
        <v>344.710732844554</v>
      </c>
      <c r="AI16" s="9">
        <v>311.383838907759</v>
      </c>
      <c r="AJ16" s="9">
        <v>200.883050052937</v>
      </c>
      <c r="AK16" s="48">
        <v>205.966428675353</v>
      </c>
      <c r="AL16" s="9">
        <v>148.916392573</v>
      </c>
      <c r="AM16" s="9">
        <v>143.003365565023</v>
      </c>
      <c r="AN16" s="9">
        <v>98.1159441572526</v>
      </c>
      <c r="AO16" s="9">
        <v>37.0656086696111</v>
      </c>
      <c r="AP16" s="9">
        <v>19.2978410811174</v>
      </c>
      <c r="AQ16" s="9">
        <v>11.2070114277729</v>
      </c>
      <c r="AR16" s="9">
        <v>7.19346202368474</v>
      </c>
      <c r="AS16" s="9">
        <v>5.99452507124268</v>
      </c>
    </row>
    <row r="17" ht="15.0" customHeight="1">
      <c r="A17" s="45" t="s">
        <v>152</v>
      </c>
      <c r="B17" s="46">
        <v>190.943088467467</v>
      </c>
      <c r="C17" s="9">
        <v>223.84711937831</v>
      </c>
      <c r="D17" s="9">
        <v>79.2688017397581</v>
      </c>
      <c r="E17" s="9">
        <v>49.854592289156</v>
      </c>
      <c r="F17" s="9">
        <v>249.27296144578</v>
      </c>
      <c r="G17" s="9">
        <v>269.464071322888</v>
      </c>
      <c r="H17" s="9">
        <v>229.331124530118</v>
      </c>
      <c r="I17" s="9">
        <v>298.87828077349</v>
      </c>
      <c r="J17" s="9">
        <v>314.582477344574</v>
      </c>
      <c r="K17" s="9">
        <v>221.105116802407</v>
      </c>
      <c r="L17" s="9">
        <v>246.032412946985</v>
      </c>
      <c r="M17" s="9">
        <v>250.519326253009</v>
      </c>
      <c r="N17" s="9">
        <v>259.493152865057</v>
      </c>
      <c r="O17" s="9">
        <v>236.809313373491</v>
      </c>
      <c r="P17" s="9">
        <v>232.322400067467</v>
      </c>
      <c r="Q17" s="9">
        <v>221.354389763852</v>
      </c>
      <c r="R17" s="9">
        <v>228.084759722889</v>
      </c>
      <c r="S17" s="9">
        <v>87.794122432413</v>
      </c>
      <c r="T17" s="9">
        <v>87.5087677549512</v>
      </c>
      <c r="U17" s="9">
        <v>87.1282948516688</v>
      </c>
      <c r="V17" s="9">
        <v>100.750784724089</v>
      </c>
      <c r="W17" s="9">
        <v>101.830385167184</v>
      </c>
      <c r="X17" s="9">
        <v>105.888642254479</v>
      </c>
      <c r="Y17" s="9">
        <v>116.476530937358</v>
      </c>
      <c r="Z17" s="48">
        <v>129.365917510709</v>
      </c>
      <c r="AA17" s="9">
        <v>144.278316396444</v>
      </c>
      <c r="AB17" s="9">
        <v>161.597686638338</v>
      </c>
      <c r="AC17" s="9">
        <v>180.423833329219</v>
      </c>
      <c r="AD17" s="9">
        <v>199.970577161</v>
      </c>
      <c r="AE17" s="48">
        <v>221.087821562589</v>
      </c>
      <c r="AF17" s="9">
        <v>238.202037160063</v>
      </c>
      <c r="AG17" s="9">
        <v>270.345655430329</v>
      </c>
      <c r="AH17" s="9">
        <v>376.446405265246</v>
      </c>
      <c r="AI17" s="9">
        <v>488.27907411508</v>
      </c>
      <c r="AJ17" s="9">
        <v>596.173719099719</v>
      </c>
      <c r="AK17" s="48">
        <v>564.213857739312</v>
      </c>
      <c r="AL17" s="9">
        <v>551.775496547522</v>
      </c>
      <c r="AM17" s="9">
        <v>576.627309083992</v>
      </c>
      <c r="AN17" s="9">
        <v>594.57545258305</v>
      </c>
      <c r="AO17" s="9">
        <v>617.633745976313</v>
      </c>
      <c r="AP17" s="9">
        <v>658.614700151536</v>
      </c>
      <c r="AQ17" s="9">
        <v>695.838609969918</v>
      </c>
      <c r="AR17" s="9">
        <v>717.252870296173</v>
      </c>
      <c r="AS17" s="9">
        <v>734.271731522503</v>
      </c>
    </row>
    <row r="18" ht="15.0" customHeight="1">
      <c r="A18" s="45" t="s">
        <v>159</v>
      </c>
      <c r="B18" s="46">
        <v>3278.23586476131</v>
      </c>
      <c r="C18" s="9">
        <v>3042.9258122416</v>
      </c>
      <c r="D18" s="9">
        <v>2096.3173119912</v>
      </c>
      <c r="E18" s="9">
        <v>2139.26363336362</v>
      </c>
      <c r="F18" s="9">
        <v>2114.21161256304</v>
      </c>
      <c r="G18" s="9">
        <v>2009.52995421777</v>
      </c>
      <c r="H18" s="9">
        <v>2376.36311594052</v>
      </c>
      <c r="I18" s="9">
        <v>2965.98031978268</v>
      </c>
      <c r="J18" s="9">
        <v>2405.88871188405</v>
      </c>
      <c r="K18" s="9">
        <v>2684.14508577618</v>
      </c>
      <c r="L18" s="9">
        <v>2752.14342794918</v>
      </c>
      <c r="M18" s="9">
        <v>3220.07938790283</v>
      </c>
      <c r="N18" s="9">
        <v>2560.67441183048</v>
      </c>
      <c r="O18" s="9">
        <v>2251.99772696622</v>
      </c>
      <c r="P18" s="9">
        <v>1893.2170005008</v>
      </c>
      <c r="Q18" s="9">
        <v>1928.11088661589</v>
      </c>
      <c r="R18" s="9">
        <v>1988.95150856015</v>
      </c>
      <c r="S18" s="9">
        <v>2029.2136848468</v>
      </c>
      <c r="T18" s="9">
        <v>2098.10674204838</v>
      </c>
      <c r="U18" s="9">
        <v>2102.58031719134</v>
      </c>
      <c r="V18" s="9">
        <v>2079.31772644795</v>
      </c>
      <c r="W18" s="9">
        <v>2630.46218406066</v>
      </c>
      <c r="X18" s="9">
        <v>2183.10466976463</v>
      </c>
      <c r="Y18" s="9">
        <v>2133.00062816347</v>
      </c>
      <c r="Z18" s="48">
        <v>2158.94736399264</v>
      </c>
      <c r="AA18" s="9">
        <v>2169.68394433575</v>
      </c>
      <c r="AB18" s="9">
        <v>2111.52746747727</v>
      </c>
      <c r="AC18" s="9">
        <v>2165.21036919279</v>
      </c>
      <c r="AD18" s="9">
        <v>2268.10259748088</v>
      </c>
      <c r="AE18" s="48">
        <v>2298.52290845301</v>
      </c>
      <c r="AF18" s="9">
        <v>2466.5133290359</v>
      </c>
      <c r="AG18" s="9">
        <v>2628.30688769477</v>
      </c>
      <c r="AH18" s="9">
        <v>2938.60610861195</v>
      </c>
      <c r="AI18" s="9">
        <v>3104.00491425069</v>
      </c>
      <c r="AJ18" s="9">
        <v>2937.0623936154</v>
      </c>
      <c r="AK18" s="48">
        <v>2752.89895418915</v>
      </c>
      <c r="AL18" s="9">
        <v>2817.56362424631</v>
      </c>
      <c r="AM18" s="9">
        <v>2900.14502482422</v>
      </c>
      <c r="AN18" s="9">
        <v>2963.07601836416</v>
      </c>
      <c r="AO18" s="9">
        <v>3007.66027207057</v>
      </c>
      <c r="AP18" s="9">
        <v>3179.96371708598</v>
      </c>
      <c r="AQ18" s="9">
        <v>3302.6577695366</v>
      </c>
      <c r="AR18" s="9">
        <v>3402.57819722361</v>
      </c>
      <c r="AS18" s="9">
        <v>3484.2844725328</v>
      </c>
    </row>
    <row r="19" ht="15.0" customHeight="1">
      <c r="A19" s="45" t="s">
        <v>162</v>
      </c>
      <c r="B19" s="46">
        <v>1746.09623169461</v>
      </c>
      <c r="C19" s="9">
        <v>674.266037903492</v>
      </c>
      <c r="D19" s="9">
        <v>722.403161308004</v>
      </c>
      <c r="E19" s="9">
        <v>624.224208177218</v>
      </c>
      <c r="F19" s="9">
        <v>532.798304732677</v>
      </c>
      <c r="G19" s="9">
        <v>363.279442095923</v>
      </c>
      <c r="H19" s="9">
        <v>661.798869251963</v>
      </c>
      <c r="I19" s="9">
        <v>612.27650488617</v>
      </c>
      <c r="J19" s="9">
        <v>460.592619625909</v>
      </c>
      <c r="K19" s="9">
        <v>519.465360480348</v>
      </c>
      <c r="L19" s="9">
        <v>762.748304305311</v>
      </c>
      <c r="M19" s="9">
        <v>795.474622015573</v>
      </c>
      <c r="N19" s="9">
        <v>630.457792502982</v>
      </c>
      <c r="O19" s="9">
        <v>484.488026208004</v>
      </c>
      <c r="P19" s="9">
        <v>385.096987236098</v>
      </c>
      <c r="Q19" s="9">
        <v>440.333470567175</v>
      </c>
      <c r="R19" s="9">
        <v>433.06095552045</v>
      </c>
      <c r="S19" s="9">
        <v>392.888967643303</v>
      </c>
      <c r="T19" s="9">
        <v>388.38693451914</v>
      </c>
      <c r="U19" s="9">
        <v>391.157416441702</v>
      </c>
      <c r="V19" s="9">
        <v>383.538591154657</v>
      </c>
      <c r="W19" s="9">
        <v>378.690247790174</v>
      </c>
      <c r="X19" s="9">
        <v>390.811106201382</v>
      </c>
      <c r="Y19" s="9">
        <v>384.577521875618</v>
      </c>
      <c r="Z19" s="48">
        <v>387.6943140385</v>
      </c>
      <c r="AA19" s="9">
        <v>361.547890894322</v>
      </c>
      <c r="AB19" s="9">
        <v>385.443297476418</v>
      </c>
      <c r="AC19" s="9">
        <v>374.01505954585</v>
      </c>
      <c r="AD19" s="9">
        <v>344.05922375815</v>
      </c>
      <c r="AE19" s="48">
        <v>352.543824645996</v>
      </c>
      <c r="AF19" s="9">
        <v>571.846101640394</v>
      </c>
      <c r="AG19" s="9">
        <v>815.285852468482</v>
      </c>
      <c r="AH19" s="9">
        <v>1096.38866145206</v>
      </c>
      <c r="AI19" s="9">
        <v>1438.342869806</v>
      </c>
      <c r="AJ19" s="9">
        <v>1423.01965042459</v>
      </c>
      <c r="AK19" s="48">
        <v>1407.50432277265</v>
      </c>
      <c r="AL19" s="9">
        <v>1419.07444753196</v>
      </c>
      <c r="AM19" s="9">
        <v>1443.029853079</v>
      </c>
      <c r="AN19" s="9">
        <v>1441.67601296349</v>
      </c>
      <c r="AO19" s="9">
        <v>1332.21348001823</v>
      </c>
      <c r="AP19" s="9">
        <v>1315.24343061289</v>
      </c>
      <c r="AQ19" s="9">
        <v>1285.91027311172</v>
      </c>
      <c r="AR19" s="9">
        <v>1246.56062626261</v>
      </c>
      <c r="AS19" s="9">
        <v>1224.33159279393</v>
      </c>
    </row>
    <row r="20" ht="15.0" customHeight="1">
      <c r="A20" s="45" t="s">
        <v>163</v>
      </c>
      <c r="B20" s="46">
        <v>53.3152119996684</v>
      </c>
      <c r="C20" s="9">
        <v>50.3111159660648</v>
      </c>
      <c r="D20" s="9">
        <v>54.7495776193681</v>
      </c>
      <c r="E20" s="9">
        <v>59.5796016832754</v>
      </c>
      <c r="F20" s="9">
        <v>53.6411556077288</v>
      </c>
      <c r="G20" s="9">
        <v>48.294609121905</v>
      </c>
      <c r="H20" s="9">
        <v>53.333777536877</v>
      </c>
      <c r="I20" s="9">
        <v>58.8987441470544</v>
      </c>
      <c r="J20" s="9">
        <v>55.4588289967529</v>
      </c>
      <c r="K20" s="9">
        <v>52.2198182360548</v>
      </c>
      <c r="L20" s="9">
        <v>49.1699782692177</v>
      </c>
      <c r="M20" s="9">
        <v>50.9215180353051</v>
      </c>
      <c r="N20" s="9">
        <v>52.735451393177</v>
      </c>
      <c r="O20" s="9">
        <v>54.6140009359891</v>
      </c>
      <c r="P20" s="9">
        <v>53.658142546585</v>
      </c>
      <c r="Q20" s="9">
        <v>52.7190136632589</v>
      </c>
      <c r="R20" s="9">
        <v>51.7963214849255</v>
      </c>
      <c r="S20" s="9">
        <v>50.8897783351265</v>
      </c>
      <c r="T20" s="9">
        <v>49.999101572339</v>
      </c>
      <c r="U20" s="9">
        <v>50.6656758813782</v>
      </c>
      <c r="V20" s="9">
        <v>51.341136776286</v>
      </c>
      <c r="W20" s="9">
        <v>51.907541375698</v>
      </c>
      <c r="X20" s="9">
        <v>87.6730904848383</v>
      </c>
      <c r="Y20" s="9">
        <v>90.0182571785598</v>
      </c>
      <c r="Z20" s="48">
        <v>94.4787395306923</v>
      </c>
      <c r="AA20" s="9">
        <v>99.3805018614566</v>
      </c>
      <c r="AB20" s="9">
        <v>104.371880478168</v>
      </c>
      <c r="AC20" s="9">
        <v>115.254907553666</v>
      </c>
      <c r="AD20" s="9">
        <v>121.363684798025</v>
      </c>
      <c r="AE20" s="48">
        <v>123.384095675898</v>
      </c>
      <c r="AF20" s="9">
        <v>130.26597093171</v>
      </c>
      <c r="AG20" s="9">
        <v>157.34370377442</v>
      </c>
      <c r="AH20" s="9">
        <v>171.312063793167</v>
      </c>
      <c r="AI20" s="9">
        <v>193.065356351454</v>
      </c>
      <c r="AJ20" s="9">
        <v>205.212329171407</v>
      </c>
      <c r="AK20" s="48">
        <v>196.929271743185</v>
      </c>
      <c r="AL20" s="9">
        <v>197.977822601682</v>
      </c>
      <c r="AM20" s="9">
        <v>201.348530329255</v>
      </c>
      <c r="AN20" s="9">
        <v>205.226169419772</v>
      </c>
      <c r="AO20" s="9">
        <v>196.429569847927</v>
      </c>
      <c r="AP20" s="9">
        <v>193.413828917038</v>
      </c>
      <c r="AQ20" s="9">
        <v>195.891339531656</v>
      </c>
      <c r="AR20" s="9">
        <v>198.622865288435</v>
      </c>
      <c r="AS20" s="9">
        <v>202.276234259827</v>
      </c>
    </row>
    <row r="21" ht="15.0" customHeight="1">
      <c r="A21" s="45" t="s">
        <v>164</v>
      </c>
      <c r="B21" s="46">
        <v>22.6732907004942</v>
      </c>
      <c r="C21" s="9">
        <v>24.1713305000412</v>
      </c>
      <c r="D21" s="9">
        <v>21.9336798524062</v>
      </c>
      <c r="E21" s="9">
        <v>19.9031787624199</v>
      </c>
      <c r="F21" s="9">
        <v>22.3224579819056</v>
      </c>
      <c r="G21" s="9">
        <v>25.0358064056979</v>
      </c>
      <c r="H21" s="9">
        <v>22.3875439948457</v>
      </c>
      <c r="I21" s="9">
        <v>20.0194121171621</v>
      </c>
      <c r="J21" s="9">
        <v>21.3661156399238</v>
      </c>
      <c r="K21" s="9">
        <v>22.8034117518987</v>
      </c>
      <c r="L21" s="9">
        <v>24.3373946060176</v>
      </c>
      <c r="M21" s="9">
        <v>23.4113858592264</v>
      </c>
      <c r="N21" s="9">
        <v>22.5206106373468</v>
      </c>
      <c r="O21" s="9">
        <v>21.6637283469103</v>
      </c>
      <c r="P21" s="9">
        <v>22.0839393099921</v>
      </c>
      <c r="Q21" s="9">
        <v>22.512301097838</v>
      </c>
      <c r="R21" s="9">
        <v>22.9489718118547</v>
      </c>
      <c r="S21" s="9">
        <v>23.394112620139</v>
      </c>
      <c r="T21" s="9">
        <v>23.8478878169626</v>
      </c>
      <c r="U21" s="9">
        <v>23.6176697407598</v>
      </c>
      <c r="V21" s="9">
        <v>23.3896740988043</v>
      </c>
      <c r="W21" s="9">
        <v>23.0656696235938</v>
      </c>
      <c r="X21" s="9">
        <v>23.0496618205747</v>
      </c>
      <c r="Y21" s="9">
        <v>22.8834606589057</v>
      </c>
      <c r="Z21" s="48">
        <v>23.9331970570745</v>
      </c>
      <c r="AA21" s="9">
        <v>23.6230286783071</v>
      </c>
      <c r="AB21" s="9">
        <v>23.608164646742</v>
      </c>
      <c r="AC21" s="9">
        <v>23.4256580884529</v>
      </c>
      <c r="AD21" s="9">
        <v>23.5104184220302</v>
      </c>
      <c r="AE21" s="48">
        <v>24.3552128136524</v>
      </c>
      <c r="AF21" s="9">
        <v>28.5162037142669</v>
      </c>
      <c r="AG21" s="9">
        <v>30.3480353719551</v>
      </c>
      <c r="AH21" s="9">
        <v>44.0171585934014</v>
      </c>
      <c r="AI21" s="9">
        <v>50.2437091993723</v>
      </c>
      <c r="AJ21" s="9">
        <v>53.6712207272815</v>
      </c>
      <c r="AK21" s="48">
        <v>51.4311117518151</v>
      </c>
      <c r="AL21" s="9">
        <v>51.4905820257708</v>
      </c>
      <c r="AM21" s="9">
        <v>53.2598992026119</v>
      </c>
      <c r="AN21" s="9">
        <v>53.9253969416636</v>
      </c>
      <c r="AO21" s="9">
        <v>48.9017216193974</v>
      </c>
      <c r="AP21" s="9">
        <v>48.7462946999749</v>
      </c>
      <c r="AQ21" s="9">
        <v>48.027967936354</v>
      </c>
      <c r="AR21" s="9">
        <v>47.7574336073894</v>
      </c>
      <c r="AS21" s="9">
        <v>47.7925807091888</v>
      </c>
    </row>
    <row r="22" ht="15.0" customHeight="1">
      <c r="A22" s="45" t="s">
        <v>165</v>
      </c>
      <c r="B22" s="46">
        <v>43.6152833398034</v>
      </c>
      <c r="C22" s="9">
        <v>43.6883162991802</v>
      </c>
      <c r="D22" s="9">
        <v>28.8334123619464</v>
      </c>
      <c r="E22" s="9">
        <v>20.5587780645591</v>
      </c>
      <c r="F22" s="9">
        <v>16.4251125638342</v>
      </c>
      <c r="G22" s="9">
        <v>11.5684207652794</v>
      </c>
      <c r="H22" s="9">
        <v>16.8487037282194</v>
      </c>
      <c r="I22" s="9">
        <v>16.4908422272733</v>
      </c>
      <c r="J22" s="9">
        <v>17.1627454535395</v>
      </c>
      <c r="K22" s="9">
        <v>14.6065918753528</v>
      </c>
      <c r="L22" s="9">
        <v>18.7621672638907</v>
      </c>
      <c r="M22" s="9">
        <v>18.9593562542079</v>
      </c>
      <c r="N22" s="9">
        <v>20.7121472792503</v>
      </c>
      <c r="O22" s="9">
        <v>18.7402573760776</v>
      </c>
      <c r="P22" s="9">
        <v>21.756518598338</v>
      </c>
      <c r="Q22" s="9">
        <v>22.9834723158676</v>
      </c>
      <c r="R22" s="9">
        <v>23.1441448264965</v>
      </c>
      <c r="S22" s="9">
        <v>23.019988795556</v>
      </c>
      <c r="T22" s="9">
        <v>23.0930217549328</v>
      </c>
      <c r="U22" s="9">
        <v>23.1295382346211</v>
      </c>
      <c r="V22" s="9">
        <v>21.8952812211538</v>
      </c>
      <c r="W22" s="9">
        <v>23.743015093386</v>
      </c>
      <c r="X22" s="9">
        <v>23.8671711243265</v>
      </c>
      <c r="Y22" s="9">
        <v>23.7503183893236</v>
      </c>
      <c r="Z22" s="48">
        <v>22.2531427221</v>
      </c>
      <c r="AA22" s="9">
        <v>23.5531293990064</v>
      </c>
      <c r="AB22" s="9">
        <v>23.743015093386</v>
      </c>
      <c r="AC22" s="9">
        <v>24.283458992774</v>
      </c>
      <c r="AD22" s="9">
        <v>24.9407556271649</v>
      </c>
      <c r="AE22" s="48">
        <v>25.1671578012329</v>
      </c>
      <c r="AF22" s="9">
        <v>38.9414830347633</v>
      </c>
      <c r="AG22" s="9">
        <v>61.8994290213327</v>
      </c>
      <c r="AH22" s="9">
        <v>92.6361430838395</v>
      </c>
      <c r="AI22" s="9">
        <v>127.773724307041</v>
      </c>
      <c r="AJ22" s="9">
        <v>150.992614571964</v>
      </c>
      <c r="AK22" s="48">
        <v>152.792519865667</v>
      </c>
      <c r="AL22" s="9">
        <v>153.99453395158</v>
      </c>
      <c r="AM22" s="9">
        <v>154.932374271551</v>
      </c>
      <c r="AN22" s="9">
        <v>155.469221712194</v>
      </c>
      <c r="AO22" s="9">
        <v>159.418150509483</v>
      </c>
      <c r="AP22" s="9">
        <v>172.377690191226</v>
      </c>
      <c r="AQ22" s="9">
        <v>188.648392828928</v>
      </c>
      <c r="AR22" s="9">
        <v>200.724519477073</v>
      </c>
      <c r="AS22" s="9">
        <v>207.41222219348</v>
      </c>
    </row>
    <row r="23" ht="15.0" customHeight="1">
      <c r="A23" s="45" t="s">
        <v>166</v>
      </c>
      <c r="B23" s="46">
        <v>57.1409047481352</v>
      </c>
      <c r="C23" s="9">
        <v>57.2514592736395</v>
      </c>
      <c r="D23" s="9">
        <v>57.3622276967565</v>
      </c>
      <c r="E23" s="9">
        <v>56.9802878759717</v>
      </c>
      <c r="F23" s="9">
        <v>56.6008911577225</v>
      </c>
      <c r="G23" s="9">
        <v>57.3020318170753</v>
      </c>
      <c r="H23" s="9">
        <v>58.0118578206716</v>
      </c>
      <c r="I23" s="9">
        <v>56.9935471658695</v>
      </c>
      <c r="J23" s="9">
        <v>55.9931114185197</v>
      </c>
      <c r="K23" s="9">
        <v>57.1601434418747</v>
      </c>
      <c r="L23" s="9">
        <v>58.3514992384409</v>
      </c>
      <c r="M23" s="9">
        <v>57.2647470121771</v>
      </c>
      <c r="N23" s="9">
        <v>56.198234718335</v>
      </c>
      <c r="O23" s="9">
        <v>56.7265017382667</v>
      </c>
      <c r="P23" s="9">
        <v>57.2597345021536</v>
      </c>
      <c r="Q23" s="9">
        <v>57.7979796883082</v>
      </c>
      <c r="R23" s="9">
        <v>58.3412844138221</v>
      </c>
      <c r="S23" s="9">
        <v>58.068358259844</v>
      </c>
      <c r="T23" s="9">
        <v>57.7967088807309</v>
      </c>
      <c r="U23" s="9">
        <v>57.5263303036067</v>
      </c>
      <c r="V23" s="9">
        <v>57.2572165835372</v>
      </c>
      <c r="W23" s="9">
        <v>56.0479131619191</v>
      </c>
      <c r="X23" s="9">
        <v>55.9616594642151</v>
      </c>
      <c r="Y23" s="9">
        <v>54.4952055660781</v>
      </c>
      <c r="Z23" s="48">
        <v>56.4533177049075</v>
      </c>
      <c r="AA23" s="9">
        <v>56.2646616583817</v>
      </c>
      <c r="AB23" s="9">
        <v>55.6446069013656</v>
      </c>
      <c r="AC23" s="9">
        <v>55.6764629085848</v>
      </c>
      <c r="AD23" s="9">
        <v>57.6896333953632</v>
      </c>
      <c r="AE23" s="48">
        <v>59.5484034235507</v>
      </c>
      <c r="AF23" s="9">
        <v>99.0353630622549</v>
      </c>
      <c r="AG23" s="9">
        <v>112.063106346552</v>
      </c>
      <c r="AH23" s="9">
        <v>148.213284800968</v>
      </c>
      <c r="AI23" s="9">
        <v>198.958939006822</v>
      </c>
      <c r="AJ23" s="9">
        <v>227.22703952944</v>
      </c>
      <c r="AK23" s="48">
        <v>234.495002019392</v>
      </c>
      <c r="AL23" s="9">
        <v>239.099749902336</v>
      </c>
      <c r="AM23" s="9">
        <v>237.958109393028</v>
      </c>
      <c r="AN23" s="9">
        <v>241.953294037026</v>
      </c>
      <c r="AO23" s="9">
        <v>214.012965801419</v>
      </c>
      <c r="AP23" s="9">
        <v>221.315111947914</v>
      </c>
      <c r="AQ23" s="9">
        <v>229.7070248815</v>
      </c>
      <c r="AR23" s="9">
        <v>232.95707886038</v>
      </c>
      <c r="AS23" s="9">
        <v>237.064953129644</v>
      </c>
    </row>
    <row r="24" ht="15.0" customHeight="1">
      <c r="A24" s="45" t="s">
        <v>167</v>
      </c>
      <c r="B24" s="46">
        <v>26.4283451107357</v>
      </c>
      <c r="C24" s="9">
        <v>26.1751495429516</v>
      </c>
      <c r="D24" s="9">
        <v>26.7028926808778</v>
      </c>
      <c r="E24" s="9">
        <v>27.2412761713709</v>
      </c>
      <c r="F24" s="9">
        <v>26.4128296927226</v>
      </c>
      <c r="G24" s="9">
        <v>25.6095774657558</v>
      </c>
      <c r="H24" s="9">
        <v>26.6071659178399</v>
      </c>
      <c r="I24" s="9">
        <v>27.6436141566996</v>
      </c>
      <c r="J24" s="9">
        <v>26.6027375042715</v>
      </c>
      <c r="K24" s="9">
        <v>25.6010534190464</v>
      </c>
      <c r="L24" s="9">
        <v>26.2575477588336</v>
      </c>
      <c r="M24" s="9">
        <v>26.9308767503485</v>
      </c>
      <c r="N24" s="9">
        <v>27.6214720888574</v>
      </c>
      <c r="O24" s="9">
        <v>26.5814178445453</v>
      </c>
      <c r="P24" s="9">
        <v>25.5805256270663</v>
      </c>
      <c r="Q24" s="9">
        <v>26.797854479893</v>
      </c>
      <c r="R24" s="9">
        <v>28.0731137113807</v>
      </c>
      <c r="S24" s="9">
        <v>26.8243881033847</v>
      </c>
      <c r="T24" s="9">
        <v>25.6312073010022</v>
      </c>
      <c r="U24" s="9">
        <v>26.3570714799968</v>
      </c>
      <c r="V24" s="9">
        <v>27.1034918037005</v>
      </c>
      <c r="W24" s="9">
        <v>25.7779744789761</v>
      </c>
      <c r="X24" s="9">
        <v>28.0590146508652</v>
      </c>
      <c r="Y24" s="9">
        <v>25.068636202802</v>
      </c>
      <c r="Z24" s="48">
        <v>25.7078494377104</v>
      </c>
      <c r="AA24" s="9">
        <v>27.2291985970079</v>
      </c>
      <c r="AB24" s="9">
        <v>28.8372337164278</v>
      </c>
      <c r="AC24" s="9">
        <v>32.4797577815181</v>
      </c>
      <c r="AD24" s="9">
        <v>32.646725272054</v>
      </c>
      <c r="AE24" s="48">
        <v>33.8595417190384</v>
      </c>
      <c r="AF24" s="9">
        <v>76.11158488685</v>
      </c>
      <c r="AG24" s="9">
        <v>106.425783132989</v>
      </c>
      <c r="AH24" s="9">
        <v>138.509575066383</v>
      </c>
      <c r="AI24" s="9">
        <v>180.371278323363</v>
      </c>
      <c r="AJ24" s="9">
        <v>212.62800876849</v>
      </c>
      <c r="AK24" s="48">
        <v>220.26805404331</v>
      </c>
      <c r="AL24" s="9">
        <v>222.440872625882</v>
      </c>
      <c r="AM24" s="9">
        <v>225.867531655656</v>
      </c>
      <c r="AN24" s="9">
        <v>231.942451347388</v>
      </c>
      <c r="AO24" s="9">
        <v>222.810923598006</v>
      </c>
      <c r="AP24" s="9">
        <v>227.002883566413</v>
      </c>
      <c r="AQ24" s="9">
        <v>227.410137377982</v>
      </c>
      <c r="AR24" s="9">
        <v>227.801712201319</v>
      </c>
      <c r="AS24" s="9">
        <v>228.172817317783</v>
      </c>
    </row>
    <row r="25" ht="15.0" customHeight="1">
      <c r="A25" s="45" t="s">
        <v>169</v>
      </c>
      <c r="B25" s="46">
        <v>52.7114804860719</v>
      </c>
      <c r="C25" s="9">
        <v>61.8573658687267</v>
      </c>
      <c r="D25" s="9">
        <v>57.5028223507544</v>
      </c>
      <c r="E25" s="9">
        <v>50.0705304821165</v>
      </c>
      <c r="F25" s="9">
        <v>55.0836315074364</v>
      </c>
      <c r="G25" s="9">
        <v>85.2697572523925</v>
      </c>
      <c r="H25" s="9">
        <v>25.2267845161542</v>
      </c>
      <c r="I25" s="9">
        <v>8.09756935055031</v>
      </c>
      <c r="J25" s="9">
        <v>6.88797392889134</v>
      </c>
      <c r="K25" s="9">
        <v>6.71997456477204</v>
      </c>
      <c r="L25" s="9">
        <v>6.49821540413456</v>
      </c>
      <c r="M25" s="9">
        <v>6.39069581109821</v>
      </c>
      <c r="N25" s="9">
        <v>5.56413893963125</v>
      </c>
      <c r="O25" s="9">
        <v>4.90558143228359</v>
      </c>
      <c r="P25" s="9">
        <v>3.30622748586785</v>
      </c>
      <c r="Q25" s="9">
        <v>3.19198791826672</v>
      </c>
      <c r="R25" s="9">
        <v>2.47967061440088</v>
      </c>
      <c r="S25" s="9">
        <v>2.61407010569632</v>
      </c>
      <c r="T25" s="9">
        <v>2.20415165724523</v>
      </c>
      <c r="U25" s="9">
        <v>1.8748729035714</v>
      </c>
      <c r="V25" s="9">
        <v>1.81439313248845</v>
      </c>
      <c r="W25" s="9">
        <v>1.80095318335891</v>
      </c>
      <c r="X25" s="9">
        <v>1.98239249660775</v>
      </c>
      <c r="Y25" s="9">
        <v>1.8748729035714</v>
      </c>
      <c r="Z25" s="48">
        <v>1.8748729035714</v>
      </c>
      <c r="AA25" s="9">
        <v>2.0753969445842</v>
      </c>
      <c r="AB25" s="9">
        <v>2.11880798027262</v>
      </c>
      <c r="AC25" s="9">
        <v>2.32894158491305</v>
      </c>
      <c r="AD25" s="9">
        <v>2.49384976073255</v>
      </c>
      <c r="AE25" s="48">
        <v>2.50655051265997</v>
      </c>
      <c r="AF25" s="9">
        <v>4.56855174979242</v>
      </c>
      <c r="AG25" s="9">
        <v>4.52530920122338</v>
      </c>
      <c r="AH25" s="9">
        <v>4.75919050580456</v>
      </c>
      <c r="AI25" s="9">
        <v>5.06719051289161</v>
      </c>
      <c r="AJ25" s="9">
        <v>5.13430780928816</v>
      </c>
      <c r="AK25" s="48">
        <v>4.71698056787548</v>
      </c>
      <c r="AL25" s="9">
        <v>4.58524553835588</v>
      </c>
      <c r="AM25" s="9">
        <v>4.75711194263737</v>
      </c>
      <c r="AN25" s="9">
        <v>4.82841716120535</v>
      </c>
      <c r="AO25" s="9">
        <v>4.03254793953514</v>
      </c>
      <c r="AP25" s="9">
        <v>4.05755709866285</v>
      </c>
      <c r="AQ25" s="9">
        <v>4.10736706174698</v>
      </c>
      <c r="AR25" s="9">
        <v>4.18019218292643</v>
      </c>
      <c r="AS25" s="9">
        <v>4.22904183912392</v>
      </c>
    </row>
    <row r="26" ht="15.0" customHeight="1">
      <c r="A26" s="45" t="s">
        <v>170</v>
      </c>
      <c r="B26" s="46">
        <v>33.000935887064</v>
      </c>
      <c r="C26" s="9">
        <v>38.2239506586856</v>
      </c>
      <c r="D26" s="9">
        <v>30.3988237727978</v>
      </c>
      <c r="E26" s="9">
        <v>24.1756404255831</v>
      </c>
      <c r="F26" s="9">
        <v>31.4064102829322</v>
      </c>
      <c r="G26" s="9">
        <v>40.7998542953214</v>
      </c>
      <c r="H26" s="9">
        <v>31.4182863507254</v>
      </c>
      <c r="I26" s="9">
        <v>24.1939275094267</v>
      </c>
      <c r="J26" s="9">
        <v>28.0648590709291</v>
      </c>
      <c r="K26" s="9">
        <v>32.5551241882586</v>
      </c>
      <c r="L26" s="9">
        <v>37.7638137513673</v>
      </c>
      <c r="M26" s="9">
        <v>34.5137072336452</v>
      </c>
      <c r="N26" s="9">
        <v>31.5433180253581</v>
      </c>
      <c r="O26" s="9">
        <v>28.8285725237578</v>
      </c>
      <c r="P26" s="9">
        <v>30.1262094071646</v>
      </c>
      <c r="Q26" s="9">
        <v>31.4822557549939</v>
      </c>
      <c r="R26" s="9">
        <v>32.8993407045474</v>
      </c>
      <c r="S26" s="9">
        <v>34.380211736327</v>
      </c>
      <c r="T26" s="9">
        <v>35.9277400009203</v>
      </c>
      <c r="U26" s="9">
        <v>34.6781614986654</v>
      </c>
      <c r="V26" s="9">
        <v>33.4720437438234</v>
      </c>
      <c r="W26" s="9">
        <v>35.9988997030305</v>
      </c>
      <c r="X26" s="9">
        <v>31.8242137351951</v>
      </c>
      <c r="Y26" s="9">
        <v>33.026913667825</v>
      </c>
      <c r="Z26" s="48">
        <v>32.9887285084612</v>
      </c>
      <c r="AA26" s="9">
        <v>34.6681597808358</v>
      </c>
      <c r="AB26" s="9">
        <v>39.126987000712</v>
      </c>
      <c r="AC26" s="9">
        <v>42.609210855112</v>
      </c>
      <c r="AD26" s="9">
        <v>43.0711300697519</v>
      </c>
      <c r="AE26" s="48">
        <v>44.474190072703</v>
      </c>
      <c r="AF26" s="9">
        <v>103.03175705528</v>
      </c>
      <c r="AG26" s="9">
        <v>124.491859421372</v>
      </c>
      <c r="AH26" s="9">
        <v>141.109718464444</v>
      </c>
      <c r="AI26" s="9">
        <v>163.112515997353</v>
      </c>
      <c r="AJ26" s="9">
        <v>168.192210182219</v>
      </c>
      <c r="AK26" s="48">
        <v>169.399094764523</v>
      </c>
      <c r="AL26" s="9">
        <v>169.684978814077</v>
      </c>
      <c r="AM26" s="9">
        <v>168.417005334997</v>
      </c>
      <c r="AN26" s="9">
        <v>166.175047958809</v>
      </c>
      <c r="AO26" s="9">
        <v>159.970973759069</v>
      </c>
      <c r="AP26" s="9">
        <v>161.252116161343</v>
      </c>
      <c r="AQ26" s="9">
        <v>163.609409293858</v>
      </c>
      <c r="AR26" s="9">
        <v>163.402402043603</v>
      </c>
      <c r="AS26" s="9">
        <v>164.081395538597</v>
      </c>
    </row>
    <row r="27" ht="15.0" customHeight="1">
      <c r="A27" s="45" t="s">
        <v>173</v>
      </c>
      <c r="B27" s="46">
        <v>186.754325226439</v>
      </c>
      <c r="C27" s="9">
        <v>590.76991815348</v>
      </c>
      <c r="D27" s="9">
        <v>223.67087788748</v>
      </c>
      <c r="E27" s="9">
        <v>74.5686343599192</v>
      </c>
      <c r="F27" s="9">
        <v>145.319522761534</v>
      </c>
      <c r="G27" s="9">
        <v>68.0189234039282</v>
      </c>
      <c r="H27" s="9">
        <v>39.2282153513901</v>
      </c>
      <c r="I27" s="9">
        <v>6.40961018687892</v>
      </c>
      <c r="J27" s="9">
        <v>22.8014001729955</v>
      </c>
      <c r="K27" s="9">
        <v>35.0251922780269</v>
      </c>
      <c r="L27" s="9">
        <v>24.8678865173991</v>
      </c>
      <c r="M27" s="9">
        <v>26.5841209390224</v>
      </c>
      <c r="N27" s="9">
        <v>27.4597507459731</v>
      </c>
      <c r="O27" s="9">
        <v>25.2881888247354</v>
      </c>
      <c r="P27" s="9">
        <v>16.987218254843</v>
      </c>
      <c r="Q27" s="9">
        <v>20.6298382517578</v>
      </c>
      <c r="R27" s="9">
        <v>19.7542084448072</v>
      </c>
      <c r="S27" s="9">
        <v>21.5054680587085</v>
      </c>
      <c r="T27" s="9">
        <v>22.9765261343856</v>
      </c>
      <c r="U27" s="9">
        <v>22.6612994038834</v>
      </c>
      <c r="V27" s="9">
        <v>21.9607955583229</v>
      </c>
      <c r="W27" s="9">
        <v>21.9958207506009</v>
      </c>
      <c r="X27" s="9">
        <v>22.6612994038834</v>
      </c>
      <c r="Y27" s="9">
        <v>22.5211986347713</v>
      </c>
      <c r="Z27" s="48">
        <v>22.4511482502152</v>
      </c>
      <c r="AA27" s="9">
        <v>21.2252665204843</v>
      </c>
      <c r="AB27" s="9">
        <v>22.7313497884395</v>
      </c>
      <c r="AC27" s="9">
        <v>21.7506444046547</v>
      </c>
      <c r="AD27" s="9">
        <v>21.3653672895964</v>
      </c>
      <c r="AE27" s="48">
        <v>21.8907451737668</v>
      </c>
      <c r="AF27" s="9">
        <v>26.2930515503097</v>
      </c>
      <c r="AG27" s="9">
        <v>35.3179677362584</v>
      </c>
      <c r="AH27" s="9">
        <v>44.4014482115143</v>
      </c>
      <c r="AI27" s="9">
        <v>55.7733947985542</v>
      </c>
      <c r="AJ27" s="9">
        <v>52.6789077052704</v>
      </c>
      <c r="AK27" s="48">
        <v>37.3943649777291</v>
      </c>
      <c r="AL27" s="9">
        <v>29.3463444019883</v>
      </c>
      <c r="AM27" s="9">
        <v>28.6001461228783</v>
      </c>
      <c r="AN27" s="9">
        <v>29.2621389070669</v>
      </c>
      <c r="AO27" s="9">
        <v>30.4423328927404</v>
      </c>
      <c r="AP27" s="9">
        <v>31.7300691494692</v>
      </c>
      <c r="AQ27" s="9">
        <v>32.0317167910076</v>
      </c>
      <c r="AR27" s="9">
        <v>32.8331978959976</v>
      </c>
      <c r="AS27" s="9">
        <v>33.5523547310261</v>
      </c>
    </row>
    <row r="28" ht="15.0" customHeight="1">
      <c r="A28" s="45" t="s">
        <v>178</v>
      </c>
      <c r="B28" s="46">
        <v>111.40222432646</v>
      </c>
      <c r="C28" s="9">
        <v>112.80724363338</v>
      </c>
      <c r="D28" s="9">
        <v>110.716212331661</v>
      </c>
      <c r="E28" s="9">
        <v>108.66394105779</v>
      </c>
      <c r="F28" s="9">
        <v>111.143692276573</v>
      </c>
      <c r="G28" s="9">
        <v>113.680032332898</v>
      </c>
      <c r="H28" s="9">
        <v>111.240356900489</v>
      </c>
      <c r="I28" s="9">
        <v>108.853039090552</v>
      </c>
      <c r="J28" s="9">
        <v>110.259962563395</v>
      </c>
      <c r="K28" s="9">
        <v>111.685070495532</v>
      </c>
      <c r="L28" s="9">
        <v>113.128597920757</v>
      </c>
      <c r="M28" s="9">
        <v>112.275114432209</v>
      </c>
      <c r="N28" s="9">
        <v>111.428069935027</v>
      </c>
      <c r="O28" s="9">
        <v>110.587415851107</v>
      </c>
      <c r="P28" s="9">
        <v>111.006154338561</v>
      </c>
      <c r="Q28" s="9">
        <v>111.42647837641</v>
      </c>
      <c r="R28" s="9">
        <v>111.84839396833</v>
      </c>
      <c r="S28" s="9">
        <v>112.271907140729</v>
      </c>
      <c r="T28" s="9">
        <v>112.697023942834</v>
      </c>
      <c r="U28" s="9">
        <v>112.291803330201</v>
      </c>
      <c r="V28" s="9">
        <v>111.888039754669</v>
      </c>
      <c r="W28" s="9">
        <v>114.083164753382</v>
      </c>
      <c r="X28" s="9">
        <v>110.399503922556</v>
      </c>
      <c r="Y28" s="9">
        <v>109.761526924758</v>
      </c>
      <c r="Z28" s="48">
        <v>119.116601483711</v>
      </c>
      <c r="AA28" s="9">
        <v>121.359087510065</v>
      </c>
      <c r="AB28" s="9">
        <v>110.729129287297</v>
      </c>
      <c r="AC28" s="9">
        <v>109.861920673336</v>
      </c>
      <c r="AD28" s="9">
        <v>114.234447360067</v>
      </c>
      <c r="AE28" s="48">
        <v>116.141215527709</v>
      </c>
      <c r="AF28" s="9">
        <v>161.867319032271</v>
      </c>
      <c r="AG28" s="9">
        <v>213.785646928725</v>
      </c>
      <c r="AH28" s="9">
        <v>285.24795848453</v>
      </c>
      <c r="AI28" s="9">
        <v>367.840933611328</v>
      </c>
      <c r="AJ28" s="9">
        <v>353.743184153013</v>
      </c>
      <c r="AK28" s="48">
        <v>304.222483718148</v>
      </c>
      <c r="AL28" s="9">
        <v>282.946706245641</v>
      </c>
      <c r="AM28" s="9">
        <v>282.644020874285</v>
      </c>
      <c r="AN28" s="9">
        <v>283.606314250844</v>
      </c>
      <c r="AO28" s="9">
        <v>260.999840412304</v>
      </c>
      <c r="AP28" s="9">
        <v>269.242362938696</v>
      </c>
      <c r="AQ28" s="9">
        <v>276.344820097196</v>
      </c>
      <c r="AR28" s="9">
        <v>273.094724068168</v>
      </c>
      <c r="AS28" s="9">
        <v>274.997401690529</v>
      </c>
    </row>
    <row r="29" ht="15.0" customHeight="1">
      <c r="A29" s="45" t="s">
        <v>179</v>
      </c>
      <c r="B29" s="46">
        <v>6.16276931283116</v>
      </c>
      <c r="C29" s="9">
        <v>6.82199957477023</v>
      </c>
      <c r="D29" s="9">
        <v>6.56014504563764</v>
      </c>
      <c r="E29" s="9">
        <v>6.93455108290617</v>
      </c>
      <c r="F29" s="9">
        <v>7.8326661784399</v>
      </c>
      <c r="G29" s="9">
        <v>5.11764816585457</v>
      </c>
      <c r="H29" s="9">
        <v>5.35308754511853</v>
      </c>
      <c r="I29" s="9">
        <v>5.39581117881911</v>
      </c>
      <c r="J29" s="9">
        <v>5.83614024228155</v>
      </c>
      <c r="K29" s="9">
        <v>6.36283536096668</v>
      </c>
      <c r="L29" s="9">
        <v>6.36283536096668</v>
      </c>
      <c r="M29" s="9">
        <v>7.09671713340408</v>
      </c>
      <c r="N29" s="9">
        <v>7.20398561156629</v>
      </c>
      <c r="O29" s="9">
        <v>7.73711224500204</v>
      </c>
      <c r="P29" s="9">
        <v>7.61330558605251</v>
      </c>
      <c r="Q29" s="9">
        <v>7.78075466652414</v>
      </c>
      <c r="R29" s="9">
        <v>7.73389648762673</v>
      </c>
      <c r="S29" s="9">
        <v>7.23108985230107</v>
      </c>
      <c r="T29" s="9">
        <v>7.32503590705127</v>
      </c>
      <c r="U29" s="9">
        <v>7.47158256458337</v>
      </c>
      <c r="V29" s="9">
        <v>89.7975315997024</v>
      </c>
      <c r="W29" s="9">
        <v>102.348747677152</v>
      </c>
      <c r="X29" s="9">
        <v>119.876166159572</v>
      </c>
      <c r="Y29" s="9">
        <v>140.269942387653</v>
      </c>
      <c r="Z29" s="48">
        <v>149.394440410277</v>
      </c>
      <c r="AA29" s="9">
        <v>156.346074845237</v>
      </c>
      <c r="AB29" s="9">
        <v>163.697555400633</v>
      </c>
      <c r="AC29" s="9">
        <v>169.345131439224</v>
      </c>
      <c r="AD29" s="9">
        <v>174.316054558465</v>
      </c>
      <c r="AE29" s="48">
        <v>179.472190326032</v>
      </c>
      <c r="AF29" s="9">
        <v>250.387135283234</v>
      </c>
      <c r="AG29" s="9">
        <v>286.970939934551</v>
      </c>
      <c r="AH29" s="9">
        <v>328.76436211511</v>
      </c>
      <c r="AI29" s="9">
        <v>300.206379542228</v>
      </c>
      <c r="AJ29" s="9">
        <v>272.431574459297</v>
      </c>
      <c r="AK29" s="48">
        <v>231.569734583886</v>
      </c>
      <c r="AL29" s="9">
        <v>269.620915519139</v>
      </c>
      <c r="AM29" s="9">
        <v>289.292299991505</v>
      </c>
      <c r="AN29" s="9">
        <v>275.231586537105</v>
      </c>
      <c r="AO29" s="9">
        <v>267.245906158444</v>
      </c>
      <c r="AP29" s="9">
        <v>340.923418793811</v>
      </c>
      <c r="AQ29" s="9">
        <v>333.391696322941</v>
      </c>
      <c r="AR29" s="9">
        <v>351.93662930578</v>
      </c>
      <c r="AS29" s="9">
        <v>353.922197950355</v>
      </c>
    </row>
    <row r="30" ht="15.0" customHeight="1">
      <c r="A30" s="45" t="s">
        <v>181</v>
      </c>
      <c r="B30" s="46">
        <v>12.2308783101419</v>
      </c>
      <c r="C30" s="9">
        <v>10.3523363728258</v>
      </c>
      <c r="D30" s="9">
        <v>15.702982138556</v>
      </c>
      <c r="E30" s="9">
        <v>12.3762762929063</v>
      </c>
      <c r="F30" s="9">
        <v>7.66538165133954</v>
      </c>
      <c r="G30" s="9">
        <v>8.40400340378273</v>
      </c>
      <c r="H30" s="9">
        <v>9.07574208415429</v>
      </c>
      <c r="I30" s="9">
        <v>10.4884288846933</v>
      </c>
      <c r="J30" s="9">
        <v>11.4218839340408</v>
      </c>
      <c r="K30" s="9">
        <v>13.0014876187933</v>
      </c>
      <c r="L30" s="9">
        <v>13.5476024420564</v>
      </c>
      <c r="M30" s="9">
        <v>14.360667961675</v>
      </c>
      <c r="N30" s="9">
        <v>15.5093120255138</v>
      </c>
      <c r="O30" s="9">
        <v>15.8658278792521</v>
      </c>
      <c r="P30" s="9">
        <v>16.0246024764308</v>
      </c>
      <c r="Q30" s="9">
        <v>16.1682556834021</v>
      </c>
      <c r="R30" s="9">
        <v>16.4107795186531</v>
      </c>
      <c r="S30" s="9">
        <v>16.5829307302462</v>
      </c>
      <c r="T30" s="9">
        <v>17.1052002843359</v>
      </c>
      <c r="U30" s="9">
        <v>17.7036583813942</v>
      </c>
      <c r="V30" s="9">
        <v>18.1288348487399</v>
      </c>
      <c r="W30" s="9">
        <v>19.4883024567959</v>
      </c>
      <c r="X30" s="9">
        <v>21.0884626905405</v>
      </c>
      <c r="Y30" s="9">
        <v>23.3764011046596</v>
      </c>
      <c r="Z30" s="48">
        <v>25.8309232206488</v>
      </c>
      <c r="AA30" s="9">
        <v>28.6501876499265</v>
      </c>
      <c r="AB30" s="9">
        <v>31.7798613693096</v>
      </c>
      <c r="AC30" s="9">
        <v>35.2407652564491</v>
      </c>
      <c r="AD30" s="9">
        <v>38.8305168610482</v>
      </c>
      <c r="AE30" s="48">
        <v>42.792326349642</v>
      </c>
      <c r="AF30" s="9">
        <v>44.1588482277291</v>
      </c>
      <c r="AG30" s="9">
        <v>45.9711935135883</v>
      </c>
      <c r="AH30" s="9">
        <v>66.8135266739483</v>
      </c>
      <c r="AI30" s="9">
        <v>82.2349273085931</v>
      </c>
      <c r="AJ30" s="9">
        <v>94.8831621215692</v>
      </c>
      <c r="AK30" s="48">
        <v>103.67542022963</v>
      </c>
      <c r="AL30" s="9">
        <v>107.991010455485</v>
      </c>
      <c r="AM30" s="9">
        <v>115.78010487247</v>
      </c>
      <c r="AN30" s="9">
        <v>122.112035340921</v>
      </c>
      <c r="AO30" s="9">
        <v>126.769708800158</v>
      </c>
      <c r="AP30" s="9">
        <v>150.013058221606</v>
      </c>
      <c r="AQ30" s="9">
        <v>170.449889735316</v>
      </c>
      <c r="AR30" s="9">
        <v>192.004932454532</v>
      </c>
      <c r="AS30" s="9">
        <v>208.142371118402</v>
      </c>
    </row>
    <row r="31" ht="15.0" customHeight="1">
      <c r="A31" s="45" t="s">
        <v>184</v>
      </c>
      <c r="B31" s="46">
        <v>851.56160720016</v>
      </c>
      <c r="C31" s="9">
        <v>679.200415727766</v>
      </c>
      <c r="D31" s="9">
        <v>598.782266957586</v>
      </c>
      <c r="E31" s="9">
        <v>488.143285210077</v>
      </c>
      <c r="F31" s="9">
        <v>336.270794061296</v>
      </c>
      <c r="G31" s="9">
        <v>335.758576553206</v>
      </c>
      <c r="H31" s="9">
        <v>367.003844546715</v>
      </c>
      <c r="I31" s="9">
        <v>404.395722637309</v>
      </c>
      <c r="J31" s="9">
        <v>421.214384515455</v>
      </c>
      <c r="K31" s="9">
        <v>442.274207360588</v>
      </c>
      <c r="L31" s="9">
        <v>459.966200090028</v>
      </c>
      <c r="M31" s="9">
        <v>477.904057223351</v>
      </c>
      <c r="N31" s="9">
        <v>501.799003975764</v>
      </c>
      <c r="O31" s="9">
        <v>516.853076538539</v>
      </c>
      <c r="P31" s="9">
        <v>530.80844254646</v>
      </c>
      <c r="Q31" s="9">
        <v>537.177867259563</v>
      </c>
      <c r="R31" s="9">
        <v>571.557906402585</v>
      </c>
      <c r="S31" s="9">
        <v>605.850868569232</v>
      </c>
      <c r="T31" s="9">
        <v>628.872484470352</v>
      </c>
      <c r="U31" s="9">
        <v>654.027486292668</v>
      </c>
      <c r="V31" s="9">
        <v>732.511604972824</v>
      </c>
      <c r="W31" s="9">
        <v>764.328511060692</v>
      </c>
      <c r="X31" s="9">
        <v>831.207141416959</v>
      </c>
      <c r="Y31" s="9">
        <v>774.859938488735</v>
      </c>
      <c r="Z31" s="48">
        <v>868.587003234178</v>
      </c>
      <c r="AA31" s="9">
        <v>981.454899261687</v>
      </c>
      <c r="AB31" s="9">
        <v>1109.31311274592</v>
      </c>
      <c r="AC31" s="9">
        <v>1254.30032647062</v>
      </c>
      <c r="AD31" s="9">
        <v>1404.49602044335</v>
      </c>
      <c r="AE31" s="48">
        <v>1570.97346850378</v>
      </c>
      <c r="AF31" s="9">
        <v>1817.82982022588</v>
      </c>
      <c r="AG31" s="9">
        <v>1989.46428440716</v>
      </c>
      <c r="AH31" s="9">
        <v>2272.37669397321</v>
      </c>
      <c r="AI31" s="9">
        <v>2568.46475251283</v>
      </c>
      <c r="AJ31" s="9">
        <v>2680.21599969251</v>
      </c>
      <c r="AK31" s="48">
        <v>2520.85217859687</v>
      </c>
      <c r="AL31" s="9">
        <v>2545.99131883512</v>
      </c>
      <c r="AM31" s="9">
        <v>2605.28777260616</v>
      </c>
      <c r="AN31" s="9">
        <v>2652.54016131472</v>
      </c>
      <c r="AO31" s="9">
        <v>2448.71620960652</v>
      </c>
      <c r="AP31" s="9">
        <v>2524.38614887872</v>
      </c>
      <c r="AQ31" s="9">
        <v>2638.92504522461</v>
      </c>
      <c r="AR31" s="9">
        <v>2733.05998146378</v>
      </c>
      <c r="AS31" s="9">
        <v>2764.34157345668</v>
      </c>
    </row>
    <row r="32" ht="15.0" customHeight="1">
      <c r="A32" s="52" t="s">
        <v>186</v>
      </c>
      <c r="B32" s="42">
        <v>5431.7866893389</v>
      </c>
      <c r="C32" s="43">
        <v>5604.21169621834</v>
      </c>
      <c r="D32" s="43">
        <v>5563.96470317226</v>
      </c>
      <c r="E32" s="43">
        <v>5352.55645191382</v>
      </c>
      <c r="F32" s="43">
        <v>5498.158594354</v>
      </c>
      <c r="G32" s="43">
        <v>5673.40504194532</v>
      </c>
      <c r="H32" s="43">
        <v>5861.05537133208</v>
      </c>
      <c r="I32" s="43">
        <v>6150.17730868653</v>
      </c>
      <c r="J32" s="43">
        <v>6432.39019658658</v>
      </c>
      <c r="K32" s="43">
        <v>6849.91688227936</v>
      </c>
      <c r="L32" s="43">
        <v>7038.2120840556</v>
      </c>
      <c r="M32" s="43">
        <v>7283.32076815927</v>
      </c>
      <c r="N32" s="43">
        <v>7544.10028380356</v>
      </c>
      <c r="O32" s="43">
        <v>7685.47928607083</v>
      </c>
      <c r="P32" s="43">
        <v>7837.13139144945</v>
      </c>
      <c r="Q32" s="43">
        <v>8033.1308682336</v>
      </c>
      <c r="R32" s="43">
        <v>8325.74453974467</v>
      </c>
      <c r="S32" s="43">
        <v>8713.25352559207</v>
      </c>
      <c r="T32" s="43">
        <v>9062.1356648863</v>
      </c>
      <c r="U32" s="43">
        <v>9365.72460436011</v>
      </c>
      <c r="V32" s="43">
        <v>10057.763966352</v>
      </c>
      <c r="W32" s="43">
        <v>11202.6828836729</v>
      </c>
      <c r="X32" s="43">
        <v>11488.7383364181</v>
      </c>
      <c r="Y32" s="43">
        <v>13786.3025456806</v>
      </c>
      <c r="Z32" s="44">
        <v>15252.0444981052</v>
      </c>
      <c r="AA32" s="43">
        <v>17138.7363727676</v>
      </c>
      <c r="AB32" s="43">
        <v>19342.1413224397</v>
      </c>
      <c r="AC32" s="43">
        <v>21856.8578264794</v>
      </c>
      <c r="AD32" s="43">
        <v>24573.0888507718</v>
      </c>
      <c r="AE32" s="44">
        <v>27736.937477668</v>
      </c>
      <c r="AF32" s="43">
        <v>29095.0409969014</v>
      </c>
      <c r="AG32" s="43">
        <v>30249.7354908437</v>
      </c>
      <c r="AH32" s="43">
        <v>32785.7339684748</v>
      </c>
      <c r="AI32" s="43">
        <v>35030.2430681458</v>
      </c>
      <c r="AJ32" s="43">
        <v>36705.0528734528</v>
      </c>
      <c r="AK32" s="44">
        <v>36405.7520636151</v>
      </c>
      <c r="AL32" s="43">
        <v>36073.2050033886</v>
      </c>
      <c r="AM32" s="43">
        <v>36732.3666528788</v>
      </c>
      <c r="AN32" s="43">
        <v>37546.8965345701</v>
      </c>
      <c r="AO32" s="43">
        <v>36712.4807200948</v>
      </c>
      <c r="AP32" s="43">
        <v>38771.4853867836</v>
      </c>
      <c r="AQ32" s="43">
        <v>41352.8129365721</v>
      </c>
      <c r="AR32" s="43">
        <v>43079.9846802658</v>
      </c>
      <c r="AS32" s="43">
        <v>45105.4089228353</v>
      </c>
    </row>
    <row r="33" ht="15.0" customHeight="1">
      <c r="A33" s="45" t="s">
        <v>187</v>
      </c>
      <c r="B33" s="46">
        <v>1770.38146485065</v>
      </c>
      <c r="C33" s="9">
        <v>1846.95423132187</v>
      </c>
      <c r="D33" s="9">
        <v>1801.78324075259</v>
      </c>
      <c r="E33" s="9">
        <v>1662.30057409852</v>
      </c>
      <c r="F33" s="9">
        <v>1727.97939934859</v>
      </c>
      <c r="G33" s="9">
        <v>1788.77006637944</v>
      </c>
      <c r="H33" s="9">
        <v>1900.93860209811</v>
      </c>
      <c r="I33" s="9">
        <v>2073.79725728934</v>
      </c>
      <c r="J33" s="9">
        <v>2156.74899289236</v>
      </c>
      <c r="K33" s="9">
        <v>2221.45134666271</v>
      </c>
      <c r="L33" s="9">
        <v>2292.53847038555</v>
      </c>
      <c r="M33" s="9">
        <v>2363.60625803947</v>
      </c>
      <c r="N33" s="9">
        <v>2434.51355632149</v>
      </c>
      <c r="O33" s="9">
        <v>2434.98729000966</v>
      </c>
      <c r="P33" s="9">
        <v>2436.6927312871</v>
      </c>
      <c r="Q33" s="9">
        <v>2457.40359469139</v>
      </c>
      <c r="R33" s="9">
        <v>2494.26394284524</v>
      </c>
      <c r="S33" s="9">
        <v>2569.09259590122</v>
      </c>
      <c r="T33" s="9">
        <v>2633.31928237651</v>
      </c>
      <c r="U33" s="9">
        <v>2675.45257652079</v>
      </c>
      <c r="V33" s="9">
        <v>2742.33821817767</v>
      </c>
      <c r="W33" s="9">
        <v>2920.1093203393</v>
      </c>
      <c r="X33" s="9">
        <v>3088.30784629297</v>
      </c>
      <c r="Y33" s="9">
        <v>4220.21678837593</v>
      </c>
      <c r="Z33" s="48">
        <v>4790.50720617683</v>
      </c>
      <c r="AA33" s="9">
        <v>5521.46053312819</v>
      </c>
      <c r="AB33" s="9">
        <v>6360.81409997647</v>
      </c>
      <c r="AC33" s="9">
        <v>7252.60023741388</v>
      </c>
      <c r="AD33" s="9">
        <v>8085.44229810073</v>
      </c>
      <c r="AE33" s="48">
        <v>8992.6499761785</v>
      </c>
      <c r="AF33" s="9">
        <v>9640.9045631813</v>
      </c>
      <c r="AG33" s="9">
        <v>9853.67881629473</v>
      </c>
      <c r="AH33" s="9">
        <v>10507.8992739809</v>
      </c>
      <c r="AI33" s="9">
        <v>11125.7956068125</v>
      </c>
      <c r="AJ33" s="9">
        <v>11697.5876596984</v>
      </c>
      <c r="AK33" s="48">
        <v>11669.0613944743</v>
      </c>
      <c r="AL33" s="9">
        <v>11546.4456476859</v>
      </c>
      <c r="AM33" s="9">
        <v>11473.7910025164</v>
      </c>
      <c r="AN33" s="9">
        <v>11430.5470687251</v>
      </c>
      <c r="AO33" s="9">
        <v>10459.7011773229</v>
      </c>
      <c r="AP33" s="9">
        <v>11360.8956090739</v>
      </c>
      <c r="AQ33" s="9">
        <v>11943.701022076</v>
      </c>
      <c r="AR33" s="9">
        <v>12141.3739172805</v>
      </c>
      <c r="AS33" s="9">
        <v>12256.2610042493</v>
      </c>
    </row>
    <row r="34" ht="15.0" customHeight="1">
      <c r="A34" s="45" t="s">
        <v>189</v>
      </c>
      <c r="B34" s="46">
        <v>53.7845825217057</v>
      </c>
      <c r="C34" s="9">
        <v>50.8042606870111</v>
      </c>
      <c r="D34" s="9">
        <v>42.696032166151</v>
      </c>
      <c r="E34" s="9">
        <v>35.9683939069508</v>
      </c>
      <c r="F34" s="9">
        <v>33.1926039628726</v>
      </c>
      <c r="G34" s="9">
        <v>33.6747148478967</v>
      </c>
      <c r="H34" s="9">
        <v>34.1663218564137</v>
      </c>
      <c r="I34" s="9">
        <v>34.2203767132194</v>
      </c>
      <c r="J34" s="9">
        <v>34.5622371589638</v>
      </c>
      <c r="K34" s="9">
        <v>34.9077499598977</v>
      </c>
      <c r="L34" s="9">
        <v>35.2569151160213</v>
      </c>
      <c r="M34" s="9">
        <v>35.9618196676096</v>
      </c>
      <c r="N34" s="9">
        <v>36.5009072935911</v>
      </c>
      <c r="O34" s="9">
        <v>36.6835250530699</v>
      </c>
      <c r="P34" s="9">
        <v>37.0502215141034</v>
      </c>
      <c r="Q34" s="9">
        <v>37.9026812153506</v>
      </c>
      <c r="R34" s="9">
        <v>39.0400246213848</v>
      </c>
      <c r="S34" s="9">
        <v>40.28913009622</v>
      </c>
      <c r="T34" s="9">
        <v>41.6989391993966</v>
      </c>
      <c r="U34" s="9">
        <v>43.2416940314737</v>
      </c>
      <c r="V34" s="9">
        <v>45.1878213081198</v>
      </c>
      <c r="W34" s="9">
        <v>48.2801850795971</v>
      </c>
      <c r="X34" s="9">
        <v>50.5180882299755</v>
      </c>
      <c r="Y34" s="9">
        <v>123.33368028613</v>
      </c>
      <c r="Z34" s="48">
        <v>136.217441362083</v>
      </c>
      <c r="AA34" s="9">
        <v>153.803641521644</v>
      </c>
      <c r="AB34" s="9">
        <v>173.72235405201</v>
      </c>
      <c r="AC34" s="9">
        <v>196.202037272796</v>
      </c>
      <c r="AD34" s="9">
        <v>219.532306619062</v>
      </c>
      <c r="AE34" s="48">
        <v>245.760575917299</v>
      </c>
      <c r="AF34" s="9">
        <v>268.417081422854</v>
      </c>
      <c r="AG34" s="9">
        <v>310.950379892243</v>
      </c>
      <c r="AH34" s="9">
        <v>540.627403983649</v>
      </c>
      <c r="AI34" s="9">
        <v>639.714730750507</v>
      </c>
      <c r="AJ34" s="9">
        <v>654.215321785159</v>
      </c>
      <c r="AK34" s="48">
        <v>619.419229752288</v>
      </c>
      <c r="AL34" s="9">
        <v>609.465655922803</v>
      </c>
      <c r="AM34" s="9">
        <v>620.19065199172</v>
      </c>
      <c r="AN34" s="9">
        <v>637.858767870322</v>
      </c>
      <c r="AO34" s="9">
        <v>524.627397388335</v>
      </c>
      <c r="AP34" s="9">
        <v>522.280665687445</v>
      </c>
      <c r="AQ34" s="9">
        <v>544.307988152226</v>
      </c>
      <c r="AR34" s="9">
        <v>563.157916688749</v>
      </c>
      <c r="AS34" s="9">
        <v>582.962665371381</v>
      </c>
    </row>
    <row r="35" ht="15.0" customHeight="1">
      <c r="A35" s="45" t="s">
        <v>190</v>
      </c>
      <c r="B35" s="46">
        <v>264.512653926946</v>
      </c>
      <c r="C35" s="9">
        <v>211.891350261146</v>
      </c>
      <c r="D35" s="9">
        <v>178.322313467124</v>
      </c>
      <c r="E35" s="9">
        <v>170.279790909575</v>
      </c>
      <c r="F35" s="9">
        <v>203.571157323057</v>
      </c>
      <c r="G35" s="9">
        <v>180.15329117685</v>
      </c>
      <c r="H35" s="9">
        <v>180.220118971702</v>
      </c>
      <c r="I35" s="9">
        <v>180.520223920578</v>
      </c>
      <c r="J35" s="9">
        <v>180.955414447449</v>
      </c>
      <c r="K35" s="9">
        <v>184.574494715303</v>
      </c>
      <c r="L35" s="9">
        <v>189.855948887442</v>
      </c>
      <c r="M35" s="9">
        <v>199.200213639679</v>
      </c>
      <c r="N35" s="9">
        <v>205.296631142222</v>
      </c>
      <c r="O35" s="9">
        <v>205.592729226212</v>
      </c>
      <c r="P35" s="9">
        <v>208.584082606363</v>
      </c>
      <c r="Q35" s="9">
        <v>213.741061382359</v>
      </c>
      <c r="R35" s="9">
        <v>220.749788060584</v>
      </c>
      <c r="S35" s="9">
        <v>229.603770002606</v>
      </c>
      <c r="T35" s="9">
        <v>238.121835460423</v>
      </c>
      <c r="U35" s="9">
        <v>246.347495290382</v>
      </c>
      <c r="V35" s="9">
        <v>257.692104108578</v>
      </c>
      <c r="W35" s="9">
        <v>306.998989145499</v>
      </c>
      <c r="X35" s="9">
        <v>310.767943476961</v>
      </c>
      <c r="Y35" s="9">
        <v>465.192708373475</v>
      </c>
      <c r="Z35" s="48">
        <v>495.131853830384</v>
      </c>
      <c r="AA35" s="9">
        <v>529.994745123044</v>
      </c>
      <c r="AB35" s="9">
        <v>567.508513153408</v>
      </c>
      <c r="AC35" s="9">
        <v>607.812559212955</v>
      </c>
      <c r="AD35" s="9">
        <v>650.212481449303</v>
      </c>
      <c r="AE35" s="48">
        <v>694.771812252656</v>
      </c>
      <c r="AF35" s="9">
        <v>736.243249159709</v>
      </c>
      <c r="AG35" s="9">
        <v>711.0762440783</v>
      </c>
      <c r="AH35" s="9">
        <v>738.078521256587</v>
      </c>
      <c r="AI35" s="9">
        <v>770.69090001091</v>
      </c>
      <c r="AJ35" s="9">
        <v>805.455741485695</v>
      </c>
      <c r="AK35" s="48">
        <v>808.597292994263</v>
      </c>
      <c r="AL35" s="9">
        <v>839.846725435668</v>
      </c>
      <c r="AM35" s="9">
        <v>956.64131919691</v>
      </c>
      <c r="AN35" s="9">
        <v>1059.27139080906</v>
      </c>
      <c r="AO35" s="9">
        <v>823.465043478419</v>
      </c>
      <c r="AP35" s="9">
        <v>957.297425361857</v>
      </c>
      <c r="AQ35" s="9">
        <v>1102.81492199289</v>
      </c>
      <c r="AR35" s="9">
        <v>770.117332991751</v>
      </c>
      <c r="AS35" s="9">
        <v>820.384383162475</v>
      </c>
    </row>
    <row r="36" ht="15.0" customHeight="1">
      <c r="A36" s="45" t="s">
        <v>192</v>
      </c>
      <c r="B36" s="46">
        <v>222.110993901008</v>
      </c>
      <c r="C36" s="9">
        <v>168.113519686524</v>
      </c>
      <c r="D36" s="9">
        <v>132.241327842861</v>
      </c>
      <c r="E36" s="9">
        <v>127.53607777286</v>
      </c>
      <c r="F36" s="9">
        <v>163.512017024033</v>
      </c>
      <c r="G36" s="9">
        <v>144.758147419478</v>
      </c>
      <c r="H36" s="9">
        <v>146.495001076965</v>
      </c>
      <c r="I36" s="9">
        <v>148.253214494821</v>
      </c>
      <c r="J36" s="9">
        <v>151.218559512997</v>
      </c>
      <c r="K36" s="9">
        <v>154.243101581339</v>
      </c>
      <c r="L36" s="9">
        <v>160.413020933831</v>
      </c>
      <c r="M36" s="9">
        <v>170.037728956396</v>
      </c>
      <c r="N36" s="9">
        <v>178.539523862386</v>
      </c>
      <c r="O36" s="9">
        <v>181.217427533873</v>
      </c>
      <c r="P36" s="9">
        <v>183.029345492087</v>
      </c>
      <c r="Q36" s="9">
        <v>186.689798140578</v>
      </c>
      <c r="R36" s="9">
        <v>192.287275915162</v>
      </c>
      <c r="S36" s="9">
        <v>199.017431268206</v>
      </c>
      <c r="T36" s="9">
        <v>204.987789430958</v>
      </c>
      <c r="U36" s="9">
        <v>211.342623280364</v>
      </c>
      <c r="V36" s="9">
        <v>220.430220110482</v>
      </c>
      <c r="W36" s="9">
        <v>261.509634120615</v>
      </c>
      <c r="X36" s="9">
        <v>264.597722760219</v>
      </c>
      <c r="Y36" s="9">
        <v>415.909740917545</v>
      </c>
      <c r="Z36" s="48">
        <v>442.531474731788</v>
      </c>
      <c r="AA36" s="9">
        <v>473.395881283578</v>
      </c>
      <c r="AB36" s="9">
        <v>506.584015154295</v>
      </c>
      <c r="AC36" s="9">
        <v>542.196870817213</v>
      </c>
      <c r="AD36" s="9">
        <v>579.682270280422</v>
      </c>
      <c r="AE36" s="48">
        <v>619.136860610946</v>
      </c>
      <c r="AF36" s="9">
        <v>637.003728106486</v>
      </c>
      <c r="AG36" s="9">
        <v>601.854841244312</v>
      </c>
      <c r="AH36" s="9">
        <v>616.125630151459</v>
      </c>
      <c r="AI36" s="9">
        <v>639.304766907024</v>
      </c>
      <c r="AJ36" s="9">
        <v>667.810599176517</v>
      </c>
      <c r="AK36" s="48">
        <v>679.305227711544</v>
      </c>
      <c r="AL36" s="9">
        <v>712.168236767387</v>
      </c>
      <c r="AM36" s="9">
        <v>815.236486114755</v>
      </c>
      <c r="AN36" s="9">
        <v>906.874615602642</v>
      </c>
      <c r="AO36" s="9">
        <v>705.113658058126</v>
      </c>
      <c r="AP36" s="9">
        <v>825.867303536587</v>
      </c>
      <c r="AQ36" s="9">
        <v>950.871020077718</v>
      </c>
      <c r="AR36" s="9">
        <v>609.439250554467</v>
      </c>
      <c r="AS36" s="9">
        <v>663.639857132175</v>
      </c>
    </row>
    <row r="37" ht="15.0" customHeight="1">
      <c r="A37" s="45" t="s">
        <v>193</v>
      </c>
      <c r="B37" s="46">
        <v>9.45689195743285</v>
      </c>
      <c r="C37" s="9">
        <v>10.1637881657369</v>
      </c>
      <c r="D37" s="9">
        <v>9.20689207888631</v>
      </c>
      <c r="E37" s="9">
        <v>9.42240921556436</v>
      </c>
      <c r="F37" s="9">
        <v>6.90516905916473</v>
      </c>
      <c r="G37" s="9">
        <v>6.66378986608531</v>
      </c>
      <c r="H37" s="9">
        <v>4.92672174446023</v>
      </c>
      <c r="I37" s="9">
        <v>3.84310158124299</v>
      </c>
      <c r="J37" s="9">
        <v>2.82844690176273</v>
      </c>
      <c r="K37" s="9">
        <v>2.88534342584574</v>
      </c>
      <c r="L37" s="9">
        <v>2.28448164878733</v>
      </c>
      <c r="M37" s="9">
        <v>1.64482678712688</v>
      </c>
      <c r="N37" s="9">
        <v>1.30430971117556</v>
      </c>
      <c r="O37" s="9">
        <v>0.0603447982698541</v>
      </c>
      <c r="P37" s="9">
        <v>0.0448275644290345</v>
      </c>
      <c r="Q37" s="9">
        <v>0.0491379071625955</v>
      </c>
      <c r="R37" s="9">
        <v>0.0543103184428687</v>
      </c>
      <c r="S37" s="9">
        <v>0.0568965240830053</v>
      </c>
      <c r="T37" s="9">
        <v>0.0594827297231419</v>
      </c>
      <c r="U37" s="9">
        <v>0.0620689353632785</v>
      </c>
      <c r="V37" s="9">
        <v>0.0654993667025572</v>
      </c>
      <c r="W37" s="9">
        <v>0.0679074316548571</v>
      </c>
      <c r="X37" s="9">
        <v>0.071278722588077</v>
      </c>
      <c r="Y37" s="9">
        <v>0.0756132395022168</v>
      </c>
      <c r="Z37" s="48">
        <v>0.0803768735908564</v>
      </c>
      <c r="AA37" s="9">
        <v>0.0854491606887431</v>
      </c>
      <c r="AB37" s="9">
        <v>0.0908515786028949</v>
      </c>
      <c r="AC37" s="9">
        <v>0.0963787830247487</v>
      </c>
      <c r="AD37" s="9">
        <v>0.101922917690903</v>
      </c>
      <c r="AE37" s="48">
        <v>0.10776613875</v>
      </c>
      <c r="AF37" s="9">
        <v>0.12181566404349</v>
      </c>
      <c r="AG37" s="9">
        <v>0.146858489238457</v>
      </c>
      <c r="AH37" s="9">
        <v>0.159657853372542</v>
      </c>
      <c r="AI37" s="9">
        <v>0.171796602788655</v>
      </c>
      <c r="AJ37" s="9">
        <v>0.176391288280318</v>
      </c>
      <c r="AK37" s="48">
        <v>0.175251410084086</v>
      </c>
      <c r="AL37" s="9">
        <v>0.176654302294613</v>
      </c>
      <c r="AM37" s="9">
        <v>0.181704080407394</v>
      </c>
      <c r="AN37" s="9">
        <v>0.184862112971205</v>
      </c>
      <c r="AO37" s="9">
        <v>0.122669485034277</v>
      </c>
      <c r="AP37" s="9">
        <v>0.16799264201415</v>
      </c>
      <c r="AQ37" s="9">
        <v>0.171761648118642</v>
      </c>
      <c r="AR37" s="9">
        <v>0.168377511545676</v>
      </c>
      <c r="AS37" s="9">
        <v>0.242694527220254</v>
      </c>
    </row>
    <row r="38" ht="15.0" customHeight="1">
      <c r="A38" s="45" t="s">
        <v>195</v>
      </c>
      <c r="B38" s="46">
        <v>5.74379184786782</v>
      </c>
      <c r="C38" s="9">
        <v>4.66273259850054</v>
      </c>
      <c r="D38" s="9">
        <v>7.20765240520778</v>
      </c>
      <c r="E38" s="9">
        <v>4.80982754554559</v>
      </c>
      <c r="F38" s="9">
        <v>4.09207509309682</v>
      </c>
      <c r="G38" s="9">
        <v>3.04291595272726</v>
      </c>
      <c r="H38" s="9">
        <v>2.85275585853528</v>
      </c>
      <c r="I38" s="9">
        <v>3.15456633421929</v>
      </c>
      <c r="J38" s="9">
        <v>2.72550986819991</v>
      </c>
      <c r="K38" s="9">
        <v>2.78009449915157</v>
      </c>
      <c r="L38" s="9">
        <v>2.79196842861184</v>
      </c>
      <c r="M38" s="9">
        <v>2.53818533925217</v>
      </c>
      <c r="N38" s="9">
        <v>2.87331370655603</v>
      </c>
      <c r="O38" s="9">
        <v>2.58603550274876</v>
      </c>
      <c r="P38" s="9">
        <v>2.7154081670173</v>
      </c>
      <c r="Q38" s="9">
        <v>2.79693066778926</v>
      </c>
      <c r="R38" s="9">
        <v>2.86693368475649</v>
      </c>
      <c r="S38" s="9">
        <v>2.90999883190341</v>
      </c>
      <c r="T38" s="9">
        <v>2.95944400084988</v>
      </c>
      <c r="U38" s="9">
        <v>3.02802923519499</v>
      </c>
      <c r="V38" s="9">
        <v>3.10067662124035</v>
      </c>
      <c r="W38" s="9">
        <v>2.85009189270215</v>
      </c>
      <c r="X38" s="9">
        <v>2.83821114697928</v>
      </c>
      <c r="Y38" s="9">
        <v>3.00563065545739</v>
      </c>
      <c r="Z38" s="48">
        <v>3.18296286412937</v>
      </c>
      <c r="AA38" s="9">
        <v>3.37480258232074</v>
      </c>
      <c r="AB38" s="9">
        <v>3.57879458083416</v>
      </c>
      <c r="AC38" s="9">
        <v>3.79532123344108</v>
      </c>
      <c r="AD38" s="9">
        <v>4.01027743628096</v>
      </c>
      <c r="AE38" s="48">
        <v>4.22575365109206</v>
      </c>
      <c r="AF38" s="9">
        <v>3.81406424063281</v>
      </c>
      <c r="AG38" s="9">
        <v>3.75051185899625</v>
      </c>
      <c r="AH38" s="9">
        <v>3.91919778040006</v>
      </c>
      <c r="AI38" s="9">
        <v>4.26176576864695</v>
      </c>
      <c r="AJ38" s="9">
        <v>4.62173705733334</v>
      </c>
      <c r="AK38" s="48">
        <v>4.68663151577865</v>
      </c>
      <c r="AL38" s="9">
        <v>4.74519649382577</v>
      </c>
      <c r="AM38" s="9">
        <v>4.88136926671835</v>
      </c>
      <c r="AN38" s="9">
        <v>4.90858493940165</v>
      </c>
      <c r="AO38" s="9">
        <v>4.10182122808026</v>
      </c>
      <c r="AP38" s="9">
        <v>4.41961873752728</v>
      </c>
      <c r="AQ38" s="9">
        <v>5.04342924447897</v>
      </c>
      <c r="AR38" s="9">
        <v>5.46608239919127</v>
      </c>
      <c r="AS38" s="9">
        <v>6.09897724027647</v>
      </c>
    </row>
    <row r="39" ht="15.0" customHeight="1">
      <c r="A39" s="45" t="s">
        <v>196</v>
      </c>
      <c r="B39" s="46">
        <v>18.6571760935012</v>
      </c>
      <c r="C39" s="9">
        <v>21.2368694360383</v>
      </c>
      <c r="D39" s="9">
        <v>22.5267161073069</v>
      </c>
      <c r="E39" s="9">
        <v>22.0446521998631</v>
      </c>
      <c r="F39" s="9">
        <v>22.6830611583698</v>
      </c>
      <c r="G39" s="9">
        <v>19.1131824924345</v>
      </c>
      <c r="H39" s="9">
        <v>19.3047051799865</v>
      </c>
      <c r="I39" s="9">
        <v>18.5425230560551</v>
      </c>
      <c r="J39" s="9">
        <v>17.3556035434028</v>
      </c>
      <c r="K39" s="9">
        <v>17.7021684065922</v>
      </c>
      <c r="L39" s="9">
        <v>17.967954993399</v>
      </c>
      <c r="M39" s="9">
        <v>17.6161786285076</v>
      </c>
      <c r="N39" s="9">
        <v>14.7277038101213</v>
      </c>
      <c r="O39" s="9">
        <v>13.2554545792794</v>
      </c>
      <c r="P39" s="9">
        <v>13.4547945193845</v>
      </c>
      <c r="Q39" s="9">
        <v>13.8586859012969</v>
      </c>
      <c r="R39" s="9">
        <v>13.9967906964024</v>
      </c>
      <c r="S39" s="9">
        <v>14.2769089128901</v>
      </c>
      <c r="T39" s="9">
        <v>14.6338967794836</v>
      </c>
      <c r="U39" s="9">
        <v>15.2175849701183</v>
      </c>
      <c r="V39" s="9">
        <v>15.8260362864069</v>
      </c>
      <c r="W39" s="9">
        <v>18.836822342604</v>
      </c>
      <c r="X39" s="9">
        <v>20.2264706973805</v>
      </c>
      <c r="Y39" s="9">
        <v>21.4198255805372</v>
      </c>
      <c r="Z39" s="48">
        <v>22.6621592922401</v>
      </c>
      <c r="AA39" s="9">
        <v>24.3712430543158</v>
      </c>
      <c r="AB39" s="9">
        <v>26.2137445895322</v>
      </c>
      <c r="AC39" s="9">
        <v>28.2033791509996</v>
      </c>
      <c r="AD39" s="9">
        <v>30.4368329493464</v>
      </c>
      <c r="AE39" s="48">
        <v>32.6738996456878</v>
      </c>
      <c r="AF39" s="9">
        <v>51.8899507938492</v>
      </c>
      <c r="AG39" s="9">
        <v>54.0997016781531</v>
      </c>
      <c r="AH39" s="9">
        <v>59.1397212662559</v>
      </c>
      <c r="AI39" s="9">
        <v>60.867235355145</v>
      </c>
      <c r="AJ39" s="9">
        <v>63.1202130662243</v>
      </c>
      <c r="AK39" s="48">
        <v>60.0540892308281</v>
      </c>
      <c r="AL39" s="9">
        <v>61.1556286052409</v>
      </c>
      <c r="AM39" s="9">
        <v>73.8134435460821</v>
      </c>
      <c r="AN39" s="9">
        <v>83.5318400314111</v>
      </c>
      <c r="AO39" s="9">
        <v>52.6435774475909</v>
      </c>
      <c r="AP39" s="9">
        <v>63.0132405050729</v>
      </c>
      <c r="AQ39" s="9">
        <v>79.5422366928894</v>
      </c>
      <c r="AR39" s="9">
        <v>85.4102247146877</v>
      </c>
      <c r="AS39" s="9">
        <v>78.6532618206289</v>
      </c>
    </row>
    <row r="40" ht="15.0" customHeight="1">
      <c r="A40" s="45" t="s">
        <v>197</v>
      </c>
      <c r="B40" s="46">
        <v>4.47949379973647</v>
      </c>
      <c r="C40" s="9">
        <v>4.51552487225012</v>
      </c>
      <c r="D40" s="9">
        <v>4.2472319630715</v>
      </c>
      <c r="E40" s="9">
        <v>3.48004728062684</v>
      </c>
      <c r="F40" s="9">
        <v>3.33481434218718</v>
      </c>
      <c r="G40" s="9">
        <v>3.47062376935404</v>
      </c>
      <c r="H40" s="9">
        <v>3.50532446380566</v>
      </c>
      <c r="I40" s="9">
        <v>3.54002515825727</v>
      </c>
      <c r="J40" s="9">
        <v>3.59268595654646</v>
      </c>
      <c r="K40" s="9">
        <v>3.66452637189677</v>
      </c>
      <c r="L40" s="9">
        <v>3.71951533179454</v>
      </c>
      <c r="M40" s="9">
        <v>3.96873948875055</v>
      </c>
      <c r="N40" s="9">
        <v>4.3656356105933</v>
      </c>
      <c r="O40" s="9">
        <v>4.96375141432003</v>
      </c>
      <c r="P40" s="9">
        <v>5.7579316849403</v>
      </c>
      <c r="Q40" s="9">
        <v>6.62162420930231</v>
      </c>
      <c r="R40" s="9">
        <v>7.61486229745573</v>
      </c>
      <c r="S40" s="9">
        <v>9.13781258397917</v>
      </c>
      <c r="T40" s="9">
        <v>10.9653640142912</v>
      </c>
      <c r="U40" s="9">
        <v>11.8425820489506</v>
      </c>
      <c r="V40" s="9">
        <v>13.0267580497897</v>
      </c>
      <c r="W40" s="9">
        <v>15.1849043085544</v>
      </c>
      <c r="X40" s="9">
        <v>15.1821157485523</v>
      </c>
      <c r="Y40" s="9">
        <v>16.0778554075493</v>
      </c>
      <c r="Z40" s="48">
        <v>17.0264488765948</v>
      </c>
      <c r="AA40" s="9">
        <v>18.0688744799705</v>
      </c>
      <c r="AB40" s="9">
        <v>19.1774938488317</v>
      </c>
      <c r="AC40" s="9">
        <v>20.3626579203202</v>
      </c>
      <c r="AD40" s="9">
        <v>21.4755273422741</v>
      </c>
      <c r="AE40" s="48">
        <v>22.6462569444006</v>
      </c>
      <c r="AF40" s="9">
        <v>26.9607530562942</v>
      </c>
      <c r="AG40" s="9">
        <v>33.3923018749056</v>
      </c>
      <c r="AH40" s="9">
        <v>39.1362055962866</v>
      </c>
      <c r="AI40" s="9">
        <v>44.6929007982552</v>
      </c>
      <c r="AJ40" s="9">
        <v>47.1115198672273</v>
      </c>
      <c r="AK40" s="48">
        <v>46.58426412115</v>
      </c>
      <c r="AL40" s="9">
        <v>46.6844734726439</v>
      </c>
      <c r="AM40" s="9">
        <v>47.5981771872511</v>
      </c>
      <c r="AN40" s="9">
        <v>48.8651872845178</v>
      </c>
      <c r="AO40" s="9">
        <v>46.5493096176274</v>
      </c>
      <c r="AP40" s="9">
        <v>48.4547801780879</v>
      </c>
      <c r="AQ40" s="9">
        <v>51.1457433604521</v>
      </c>
      <c r="AR40" s="9">
        <v>53.2708822564155</v>
      </c>
      <c r="AS40" s="9">
        <v>55.0459146033636</v>
      </c>
    </row>
    <row r="41" ht="15.0" customHeight="1">
      <c r="A41" s="45" t="s">
        <v>199</v>
      </c>
      <c r="B41" s="46">
        <v>4.06430632739989</v>
      </c>
      <c r="C41" s="9">
        <v>3.19891550209602</v>
      </c>
      <c r="D41" s="9">
        <v>2.89249306978998</v>
      </c>
      <c r="E41" s="9">
        <v>2.98677689511491</v>
      </c>
      <c r="F41" s="9">
        <v>3.04402064620505</v>
      </c>
      <c r="G41" s="9">
        <v>3.10463167677108</v>
      </c>
      <c r="H41" s="9">
        <v>3.13561064794927</v>
      </c>
      <c r="I41" s="9">
        <v>3.18679329598281</v>
      </c>
      <c r="J41" s="9">
        <v>3.23460866454046</v>
      </c>
      <c r="K41" s="9">
        <v>3.29926043047755</v>
      </c>
      <c r="L41" s="9">
        <v>2.67900755101852</v>
      </c>
      <c r="M41" s="9">
        <v>3.39455443964526</v>
      </c>
      <c r="N41" s="9">
        <v>3.48614444138948</v>
      </c>
      <c r="O41" s="9">
        <v>3.50971539772071</v>
      </c>
      <c r="P41" s="9">
        <v>3.58177517850477</v>
      </c>
      <c r="Q41" s="9">
        <v>3.72488455623012</v>
      </c>
      <c r="R41" s="9">
        <v>3.92961514836427</v>
      </c>
      <c r="S41" s="9">
        <v>4.20472188154452</v>
      </c>
      <c r="T41" s="9">
        <v>4.51585850511681</v>
      </c>
      <c r="U41" s="9">
        <v>4.8546068203914</v>
      </c>
      <c r="V41" s="9">
        <v>5.24291367395665</v>
      </c>
      <c r="W41" s="9">
        <v>8.5496290493693</v>
      </c>
      <c r="X41" s="9">
        <v>7.85214440124141</v>
      </c>
      <c r="Y41" s="9">
        <v>8.70404257288333</v>
      </c>
      <c r="Z41" s="48">
        <v>9.64843119204117</v>
      </c>
      <c r="AA41" s="9">
        <v>10.6984945621706</v>
      </c>
      <c r="AB41" s="9">
        <v>11.8636134013127</v>
      </c>
      <c r="AC41" s="9">
        <v>13.1579513079564</v>
      </c>
      <c r="AD41" s="9">
        <v>14.5056505232884</v>
      </c>
      <c r="AE41" s="48">
        <v>15.9812752617795</v>
      </c>
      <c r="AF41" s="9">
        <v>16.452937298404</v>
      </c>
      <c r="AG41" s="9">
        <v>17.8320289326946</v>
      </c>
      <c r="AH41" s="9">
        <v>19.5981086088127</v>
      </c>
      <c r="AI41" s="9">
        <v>21.3924345790502</v>
      </c>
      <c r="AJ41" s="9">
        <v>22.6152810301131</v>
      </c>
      <c r="AK41" s="48">
        <v>17.7918290048778</v>
      </c>
      <c r="AL41" s="9">
        <v>14.9165357942755</v>
      </c>
      <c r="AM41" s="9">
        <v>14.9301390016966</v>
      </c>
      <c r="AN41" s="9">
        <v>14.9063008381109</v>
      </c>
      <c r="AO41" s="9">
        <v>14.9340076419598</v>
      </c>
      <c r="AP41" s="9">
        <v>15.3744897625675</v>
      </c>
      <c r="AQ41" s="9">
        <v>16.0407309692359</v>
      </c>
      <c r="AR41" s="9">
        <v>16.3625155554448</v>
      </c>
      <c r="AS41" s="9">
        <v>16.7036778388113</v>
      </c>
    </row>
    <row r="42" ht="15.0" customHeight="1">
      <c r="A42" s="45" t="s">
        <v>205</v>
      </c>
      <c r="B42" s="46">
        <v>271.149083617211</v>
      </c>
      <c r="C42" s="9">
        <v>290.074532577799</v>
      </c>
      <c r="D42" s="9">
        <v>284.824644798317</v>
      </c>
      <c r="E42" s="9">
        <v>259.172046873555</v>
      </c>
      <c r="F42" s="9">
        <v>209.03202061036</v>
      </c>
      <c r="G42" s="9">
        <v>209.231379714784</v>
      </c>
      <c r="H42" s="9">
        <v>211.614843638766</v>
      </c>
      <c r="I42" s="9">
        <v>214.604005262266</v>
      </c>
      <c r="J42" s="9">
        <v>217.912666767013</v>
      </c>
      <c r="K42" s="9">
        <v>222.745725659823</v>
      </c>
      <c r="L42" s="9">
        <v>226.902797138274</v>
      </c>
      <c r="M42" s="9">
        <v>237.978719694549</v>
      </c>
      <c r="N42" s="9">
        <v>253.303437851946</v>
      </c>
      <c r="O42" s="9">
        <v>263.702864245921</v>
      </c>
      <c r="P42" s="9">
        <v>279.210526224652</v>
      </c>
      <c r="Q42" s="9">
        <v>298.830561744514</v>
      </c>
      <c r="R42" s="9">
        <v>327.335403276041</v>
      </c>
      <c r="S42" s="9">
        <v>369.697798732262</v>
      </c>
      <c r="T42" s="9">
        <v>421.267766338917</v>
      </c>
      <c r="U42" s="9">
        <v>462.502974796129</v>
      </c>
      <c r="V42" s="9">
        <v>821.723852394817</v>
      </c>
      <c r="W42" s="9">
        <v>953.871829052387</v>
      </c>
      <c r="X42" s="9">
        <v>1083.71580052044</v>
      </c>
      <c r="Y42" s="9">
        <v>1459.29036479565</v>
      </c>
      <c r="Z42" s="48">
        <v>1775.49223349374</v>
      </c>
      <c r="AA42" s="9">
        <v>2223.80001898087</v>
      </c>
      <c r="AB42" s="9">
        <v>2811.95483537325</v>
      </c>
      <c r="AC42" s="9">
        <v>3587.61679806917</v>
      </c>
      <c r="AD42" s="9">
        <v>4610.00305492893</v>
      </c>
      <c r="AE42" s="48">
        <v>5955.05967279712</v>
      </c>
      <c r="AF42" s="9">
        <v>6083.04666140681</v>
      </c>
      <c r="AG42" s="9">
        <v>6268.5134181107</v>
      </c>
      <c r="AH42" s="9">
        <v>6783.07035697199</v>
      </c>
      <c r="AI42" s="9">
        <v>7257.06203913416</v>
      </c>
      <c r="AJ42" s="9">
        <v>7708.11383424276</v>
      </c>
      <c r="AK42" s="48">
        <v>7858.69828644269</v>
      </c>
      <c r="AL42" s="9">
        <v>7776.8969676714</v>
      </c>
      <c r="AM42" s="9">
        <v>8527.6593288213</v>
      </c>
      <c r="AN42" s="9">
        <v>9309.92485496735</v>
      </c>
      <c r="AO42" s="9">
        <v>10537.1448292656</v>
      </c>
      <c r="AP42" s="9">
        <v>11227.0687513855</v>
      </c>
      <c r="AQ42" s="9">
        <v>12323.041872456</v>
      </c>
      <c r="AR42" s="9">
        <v>13297.9903187643</v>
      </c>
      <c r="AS42" s="9">
        <v>14018.1698374173</v>
      </c>
    </row>
    <row r="43" ht="15.0" customHeight="1">
      <c r="A43" s="45" t="s">
        <v>206</v>
      </c>
      <c r="B43" s="46">
        <v>16.4894028794315</v>
      </c>
      <c r="C43" s="9">
        <v>16.1704114546806</v>
      </c>
      <c r="D43" s="9">
        <v>10.4531036110682</v>
      </c>
      <c r="E43" s="9">
        <v>15.3115883880435</v>
      </c>
      <c r="F43" s="9">
        <v>18.4524270317448</v>
      </c>
      <c r="G43" s="9">
        <v>18.3297380222252</v>
      </c>
      <c r="H43" s="9">
        <v>18.5137715365046</v>
      </c>
      <c r="I43" s="9">
        <v>18.6978050507839</v>
      </c>
      <c r="J43" s="9">
        <v>19.0707796397234</v>
      </c>
      <c r="K43" s="9">
        <v>19.4511155692341</v>
      </c>
      <c r="L43" s="9">
        <v>19.8412666195064</v>
      </c>
      <c r="M43" s="9">
        <v>20.5356864133872</v>
      </c>
      <c r="N43" s="9">
        <v>21.254644009172</v>
      </c>
      <c r="O43" s="9">
        <v>21.468122885736</v>
      </c>
      <c r="P43" s="9">
        <v>22.5404248289372</v>
      </c>
      <c r="Q43" s="9">
        <v>23.6667099363269</v>
      </c>
      <c r="R43" s="9">
        <v>25.0849948863732</v>
      </c>
      <c r="S43" s="9">
        <v>26.3388765636633</v>
      </c>
      <c r="T43" s="9">
        <v>27.7080859099019</v>
      </c>
      <c r="U43" s="9">
        <v>29.3987404610817</v>
      </c>
      <c r="V43" s="9">
        <v>339.917305560907</v>
      </c>
      <c r="W43" s="9">
        <v>422.730573922683</v>
      </c>
      <c r="X43" s="9">
        <v>536.439546221574</v>
      </c>
      <c r="Y43" s="9">
        <v>852.513969205704</v>
      </c>
      <c r="Z43" s="48">
        <v>1112.65888063441</v>
      </c>
      <c r="AA43" s="9">
        <v>1497.57711082609</v>
      </c>
      <c r="AB43" s="9">
        <v>2016.072653944</v>
      </c>
      <c r="AC43" s="9">
        <v>2715.04502406632</v>
      </c>
      <c r="AD43" s="9">
        <v>3657.88119763343</v>
      </c>
      <c r="AE43" s="48">
        <v>4931.99114</v>
      </c>
      <c r="AF43" s="9">
        <v>4992.42010531935</v>
      </c>
      <c r="AG43" s="9">
        <v>5176.55939034611</v>
      </c>
      <c r="AH43" s="9">
        <v>5420.65435772851</v>
      </c>
      <c r="AI43" s="9">
        <v>5677.87545263833</v>
      </c>
      <c r="AJ43" s="9">
        <v>5933.08901102601</v>
      </c>
      <c r="AK43" s="48">
        <v>6053.66328178123</v>
      </c>
      <c r="AL43" s="9">
        <v>5930.24607304315</v>
      </c>
      <c r="AM43" s="9">
        <v>6602.07704337451</v>
      </c>
      <c r="AN43" s="9">
        <v>7355.31200102731</v>
      </c>
      <c r="AO43" s="9">
        <v>8525.16393128179</v>
      </c>
      <c r="AP43" s="9">
        <v>9145.60471179663</v>
      </c>
      <c r="AQ43" s="9">
        <v>10126.351668875</v>
      </c>
      <c r="AR43" s="9">
        <v>11027.8675146421</v>
      </c>
      <c r="AS43" s="9">
        <v>11716.6412986413</v>
      </c>
    </row>
    <row r="44" ht="15.0" customHeight="1">
      <c r="A44" s="45" t="s">
        <v>207</v>
      </c>
      <c r="B44" s="46">
        <v>8.59386110457317</v>
      </c>
      <c r="C44" s="9">
        <v>9.70025211068707</v>
      </c>
      <c r="D44" s="9">
        <v>6.84807881613325</v>
      </c>
      <c r="E44" s="9">
        <v>6.07894345030903</v>
      </c>
      <c r="F44" s="9">
        <v>7.28500565315253</v>
      </c>
      <c r="G44" s="9">
        <v>7.00162700245321</v>
      </c>
      <c r="H44" s="9">
        <v>7.35870088490555</v>
      </c>
      <c r="I44" s="9">
        <v>8.30425069030464</v>
      </c>
      <c r="J44" s="9">
        <v>8.44089290416954</v>
      </c>
      <c r="K44" s="9">
        <v>9.08408494526648</v>
      </c>
      <c r="L44" s="9">
        <v>9.92890230311033</v>
      </c>
      <c r="M44" s="9">
        <v>9.44911820891117</v>
      </c>
      <c r="N44" s="9">
        <v>9.05887406809444</v>
      </c>
      <c r="O44" s="9">
        <v>8.97734285640787</v>
      </c>
      <c r="P44" s="9">
        <v>8.48358973971299</v>
      </c>
      <c r="Q44" s="9">
        <v>8.56841576500942</v>
      </c>
      <c r="R44" s="9">
        <v>8.59413258734252</v>
      </c>
      <c r="S44" s="9">
        <v>8.25896242832648</v>
      </c>
      <c r="T44" s="9">
        <v>8.54801753693042</v>
      </c>
      <c r="U44" s="9">
        <v>8.85452158352813</v>
      </c>
      <c r="V44" s="9">
        <v>9.22514581364978</v>
      </c>
      <c r="W44" s="9">
        <v>10.2388611914271</v>
      </c>
      <c r="X44" s="9">
        <v>10.8086562465821</v>
      </c>
      <c r="Y44" s="9">
        <v>12.1061279772764</v>
      </c>
      <c r="Z44" s="48">
        <v>13.2647665408592</v>
      </c>
      <c r="AA44" s="9">
        <v>14.5020819919065</v>
      </c>
      <c r="AB44" s="9">
        <v>15.8798309157331</v>
      </c>
      <c r="AC44" s="9">
        <v>17.2772558888211</v>
      </c>
      <c r="AD44" s="9">
        <v>18.6289440765537</v>
      </c>
      <c r="AE44" s="48">
        <v>8.77588839665796</v>
      </c>
      <c r="AF44" s="9">
        <v>12.1166960747366</v>
      </c>
      <c r="AG44" s="9">
        <v>12.631744828652</v>
      </c>
      <c r="AH44" s="9">
        <v>14.2305901730084</v>
      </c>
      <c r="AI44" s="9">
        <v>16.0514178732118</v>
      </c>
      <c r="AJ44" s="9">
        <v>17.7031408193969</v>
      </c>
      <c r="AK44" s="48">
        <v>18.1278956637028</v>
      </c>
      <c r="AL44" s="9">
        <v>18.5424309270975</v>
      </c>
      <c r="AM44" s="9">
        <v>19.6613975520051</v>
      </c>
      <c r="AN44" s="9">
        <v>20.1720996036198</v>
      </c>
      <c r="AO44" s="9">
        <v>18.8018006306419</v>
      </c>
      <c r="AP44" s="9">
        <v>19.1054792104797</v>
      </c>
      <c r="AQ44" s="9">
        <v>20.174094987506</v>
      </c>
      <c r="AR44" s="9">
        <v>20.776861382734</v>
      </c>
      <c r="AS44" s="9">
        <v>21.0148671567634</v>
      </c>
    </row>
    <row r="45" ht="15.0" customHeight="1">
      <c r="A45" s="45" t="s">
        <v>208</v>
      </c>
      <c r="B45" s="46">
        <v>71.0925696648982</v>
      </c>
      <c r="C45" s="9">
        <v>71.6644069410049</v>
      </c>
      <c r="D45" s="9">
        <v>67.4064186081487</v>
      </c>
      <c r="E45" s="9">
        <v>55.2306833753534</v>
      </c>
      <c r="F45" s="9">
        <v>52.9257392778155</v>
      </c>
      <c r="G45" s="9">
        <v>55.0811259339101</v>
      </c>
      <c r="H45" s="9">
        <v>55.6318492182836</v>
      </c>
      <c r="I45" s="9">
        <v>56.1825725026572</v>
      </c>
      <c r="J45" s="9">
        <v>57.0183346754285</v>
      </c>
      <c r="K45" s="9">
        <v>58.1584902290198</v>
      </c>
      <c r="L45" s="9">
        <v>59.0312018873242</v>
      </c>
      <c r="M45" s="9">
        <v>62.9865563386715</v>
      </c>
      <c r="N45" s="9">
        <v>69.2855638724009</v>
      </c>
      <c r="O45" s="9">
        <v>78.7780626557724</v>
      </c>
      <c r="P45" s="9">
        <v>91.38223597082</v>
      </c>
      <c r="Q45" s="9">
        <v>105.089615353926</v>
      </c>
      <c r="R45" s="9">
        <v>120.852969682049</v>
      </c>
      <c r="S45" s="9">
        <v>145.023211718597</v>
      </c>
      <c r="T45" s="9">
        <v>174.027678112385</v>
      </c>
      <c r="U45" s="9">
        <v>187.949716411445</v>
      </c>
      <c r="V45" s="9">
        <v>206.74496400185</v>
      </c>
      <c r="W45" s="9">
        <v>237.834236185473</v>
      </c>
      <c r="X45" s="9">
        <v>240.949564763928</v>
      </c>
      <c r="Y45" s="9">
        <v>267.090766859989</v>
      </c>
      <c r="Z45" s="48">
        <v>295.135297380287</v>
      </c>
      <c r="AA45" s="9">
        <v>326.450628108823</v>
      </c>
      <c r="AB45" s="9">
        <v>361.126522975999</v>
      </c>
      <c r="AC45" s="9">
        <v>399.767055666975</v>
      </c>
      <c r="AD45" s="9">
        <v>439.31640763175</v>
      </c>
      <c r="AE45" s="48">
        <v>479.194449200466</v>
      </c>
      <c r="AF45" s="9">
        <v>481.559466211537</v>
      </c>
      <c r="AG45" s="9">
        <v>491.893601506127</v>
      </c>
      <c r="AH45" s="9">
        <v>610.870382702314</v>
      </c>
      <c r="AI45" s="9">
        <v>735.768140632983</v>
      </c>
      <c r="AJ45" s="9">
        <v>765.640626858574</v>
      </c>
      <c r="AK45" s="48">
        <v>734.432870918415</v>
      </c>
      <c r="AL45" s="9">
        <v>730.211656401627</v>
      </c>
      <c r="AM45" s="9">
        <v>727.005790571022</v>
      </c>
      <c r="AN45" s="9">
        <v>728.492703151021</v>
      </c>
      <c r="AO45" s="9">
        <v>728.692964776252</v>
      </c>
      <c r="AP45" s="9">
        <v>752.704622743345</v>
      </c>
      <c r="AQ45" s="9">
        <v>796.529971105607</v>
      </c>
      <c r="AR45" s="9">
        <v>805.005415888223</v>
      </c>
      <c r="AS45" s="9">
        <v>805.669685345186</v>
      </c>
    </row>
    <row r="46" ht="15.0" customHeight="1">
      <c r="A46" s="45" t="s">
        <v>209</v>
      </c>
      <c r="B46" s="46">
        <v>174.973249968309</v>
      </c>
      <c r="C46" s="9">
        <v>192.539462071426</v>
      </c>
      <c r="D46" s="9">
        <v>200.117043762967</v>
      </c>
      <c r="E46" s="9">
        <v>182.55083165985</v>
      </c>
      <c r="F46" s="9">
        <v>130.368848647647</v>
      </c>
      <c r="G46" s="9">
        <v>128.818888756196</v>
      </c>
      <c r="H46" s="9">
        <v>130.110521999072</v>
      </c>
      <c r="I46" s="9">
        <v>131.41937701852</v>
      </c>
      <c r="J46" s="9">
        <v>133.382659547692</v>
      </c>
      <c r="K46" s="9">
        <v>136.052034916303</v>
      </c>
      <c r="L46" s="9">
        <v>138.101426328333</v>
      </c>
      <c r="M46" s="9">
        <v>145.007358733579</v>
      </c>
      <c r="N46" s="9">
        <v>153.704355902279</v>
      </c>
      <c r="O46" s="9">
        <v>154.479335848005</v>
      </c>
      <c r="P46" s="9">
        <v>156.804275685182</v>
      </c>
      <c r="Q46" s="9">
        <v>161.505820689252</v>
      </c>
      <c r="R46" s="9">
        <v>172.803306120276</v>
      </c>
      <c r="S46" s="9">
        <v>190.076748021675</v>
      </c>
      <c r="T46" s="9">
        <v>210.9839847797</v>
      </c>
      <c r="U46" s="9">
        <v>236.299996340075</v>
      </c>
      <c r="V46" s="9">
        <v>265.836437018411</v>
      </c>
      <c r="W46" s="9">
        <v>283.068157752805</v>
      </c>
      <c r="X46" s="9">
        <v>295.518033288358</v>
      </c>
      <c r="Y46" s="9">
        <v>327.579500752681</v>
      </c>
      <c r="Z46" s="48">
        <v>354.433288938183</v>
      </c>
      <c r="AA46" s="9">
        <v>385.270198054052</v>
      </c>
      <c r="AB46" s="9">
        <v>418.875827537525</v>
      </c>
      <c r="AC46" s="9">
        <v>455.527462447059</v>
      </c>
      <c r="AD46" s="9">
        <v>494.176505587197</v>
      </c>
      <c r="AE46" s="48">
        <v>535.0981952</v>
      </c>
      <c r="AF46" s="9">
        <v>596.950393801193</v>
      </c>
      <c r="AG46" s="9">
        <v>587.428681429815</v>
      </c>
      <c r="AH46" s="9">
        <v>737.315026368159</v>
      </c>
      <c r="AI46" s="9">
        <v>827.367027989636</v>
      </c>
      <c r="AJ46" s="9">
        <v>991.681055538777</v>
      </c>
      <c r="AK46" s="48">
        <v>1052.47423807934</v>
      </c>
      <c r="AL46" s="9">
        <v>1097.89680729953</v>
      </c>
      <c r="AM46" s="9">
        <v>1178.91509732377</v>
      </c>
      <c r="AN46" s="9">
        <v>1205.94805118541</v>
      </c>
      <c r="AO46" s="9">
        <v>1264.48613257693</v>
      </c>
      <c r="AP46" s="9">
        <v>1309.65393763503</v>
      </c>
      <c r="AQ46" s="9">
        <v>1379.98613748792</v>
      </c>
      <c r="AR46" s="9">
        <v>1444.34052685122</v>
      </c>
      <c r="AS46" s="9">
        <v>1474.84398627402</v>
      </c>
    </row>
    <row r="47" ht="15.0" customHeight="1">
      <c r="A47" s="45" t="s">
        <v>211</v>
      </c>
      <c r="B47" s="46">
        <v>4.5894593812217</v>
      </c>
      <c r="C47" s="9">
        <v>4.62637496837421</v>
      </c>
      <c r="D47" s="9">
        <v>4.35149582711554</v>
      </c>
      <c r="E47" s="9">
        <v>3.56547778682216</v>
      </c>
      <c r="F47" s="9">
        <v>3.41667957399205</v>
      </c>
      <c r="G47" s="9">
        <v>3.5558229409515</v>
      </c>
      <c r="H47" s="9">
        <v>3.59137549103992</v>
      </c>
      <c r="I47" s="9">
        <v>3.62692804112833</v>
      </c>
      <c r="J47" s="9">
        <v>3.68088159158199</v>
      </c>
      <c r="K47" s="9">
        <v>3.75448559304299</v>
      </c>
      <c r="L47" s="9">
        <v>3.81082445835882</v>
      </c>
      <c r="M47" s="9">
        <v>4.06616673503216</v>
      </c>
      <c r="N47" s="9">
        <v>4.47280612581978</v>
      </c>
      <c r="O47" s="9">
        <v>5.0856048725514</v>
      </c>
      <c r="P47" s="9">
        <v>5.89928120660366</v>
      </c>
      <c r="Q47" s="9">
        <v>6.78417622725476</v>
      </c>
      <c r="R47" s="9">
        <v>7.80179698202187</v>
      </c>
      <c r="S47" s="9">
        <v>9.36213366114184</v>
      </c>
      <c r="T47" s="9">
        <v>11.234549034728</v>
      </c>
      <c r="U47" s="9">
        <v>12.1333015988641</v>
      </c>
      <c r="V47" s="9">
        <v>13.3466495729599</v>
      </c>
      <c r="W47" s="9">
        <v>15.3536518877029</v>
      </c>
      <c r="X47" s="9">
        <v>15.5547653660505</v>
      </c>
      <c r="Y47" s="9">
        <v>17.2423395494243</v>
      </c>
      <c r="Z47" s="48">
        <v>19.0527852021138</v>
      </c>
      <c r="AA47" s="9">
        <v>21.0743809759841</v>
      </c>
      <c r="AB47" s="9">
        <v>23.3129216807379</v>
      </c>
      <c r="AC47" s="9">
        <v>25.8074039605304</v>
      </c>
      <c r="AD47" s="9">
        <v>28.3605560726505</v>
      </c>
      <c r="AE47" s="48">
        <v>30.934927105305</v>
      </c>
      <c r="AF47" s="9">
        <v>76.8145322816518</v>
      </c>
      <c r="AG47" s="9">
        <v>97.8340391168851</v>
      </c>
      <c r="AH47" s="9">
        <v>112.44488941031</v>
      </c>
      <c r="AI47" s="9">
        <v>129.182666036987</v>
      </c>
      <c r="AJ47" s="9">
        <v>141.329247759286</v>
      </c>
      <c r="AK47" s="48">
        <v>146.579956560287</v>
      </c>
      <c r="AL47" s="9">
        <v>152.629899915804</v>
      </c>
      <c r="AM47" s="9">
        <v>156.484018322502</v>
      </c>
      <c r="AN47" s="9">
        <v>162.935030926787</v>
      </c>
      <c r="AO47" s="9">
        <v>158.041022615039</v>
      </c>
      <c r="AP47" s="9">
        <v>160.767064902562</v>
      </c>
      <c r="AQ47" s="9">
        <v>167.664098049569</v>
      </c>
      <c r="AR47" s="9">
        <v>174.833402963877</v>
      </c>
      <c r="AS47" s="9">
        <v>181.358278246659</v>
      </c>
    </row>
    <row r="48" ht="15.0" customHeight="1">
      <c r="A48" s="45" t="s">
        <v>216</v>
      </c>
      <c r="B48" s="46">
        <v>282.170742206445</v>
      </c>
      <c r="C48" s="9">
        <v>372.267760156951</v>
      </c>
      <c r="D48" s="9">
        <v>336.896500802225</v>
      </c>
      <c r="E48" s="9">
        <v>267.287623633852</v>
      </c>
      <c r="F48" s="9">
        <v>254.99343511613</v>
      </c>
      <c r="G48" s="9">
        <v>303.107417676501</v>
      </c>
      <c r="H48" s="9">
        <v>328.771536095849</v>
      </c>
      <c r="I48" s="9">
        <v>398.174237237791</v>
      </c>
      <c r="J48" s="9">
        <v>539.660765045984</v>
      </c>
      <c r="K48" s="9">
        <v>785.397021701655</v>
      </c>
      <c r="L48" s="9">
        <v>816.813343615803</v>
      </c>
      <c r="M48" s="9">
        <v>848.163282459298</v>
      </c>
      <c r="N48" s="9">
        <v>879.581829749435</v>
      </c>
      <c r="O48" s="9">
        <v>905.503884800633</v>
      </c>
      <c r="P48" s="9">
        <v>942.010416969477</v>
      </c>
      <c r="Q48" s="9">
        <v>978.712504405843</v>
      </c>
      <c r="R48" s="9">
        <v>1019.11326227508</v>
      </c>
      <c r="S48" s="9">
        <v>1068.61169219484</v>
      </c>
      <c r="T48" s="9">
        <v>1106.33686558949</v>
      </c>
      <c r="U48" s="9">
        <v>1151.59151545482</v>
      </c>
      <c r="V48" s="9">
        <v>1202.81931779605</v>
      </c>
      <c r="W48" s="9">
        <v>1556.68844422702</v>
      </c>
      <c r="X48" s="9">
        <v>1396.78170766828</v>
      </c>
      <c r="Y48" s="9">
        <v>1442.45157421</v>
      </c>
      <c r="Z48" s="48">
        <v>1491.76192901967</v>
      </c>
      <c r="AA48" s="9">
        <v>1573.20613712086</v>
      </c>
      <c r="AB48" s="9">
        <v>1660.35588839605</v>
      </c>
      <c r="AC48" s="9">
        <v>1749.11329281876</v>
      </c>
      <c r="AD48" s="9">
        <v>1827.96951610785</v>
      </c>
      <c r="AE48" s="48">
        <v>1908.80512409289</v>
      </c>
      <c r="AF48" s="9">
        <v>1394.69660096184</v>
      </c>
      <c r="AG48" s="9">
        <v>1687.90591101944</v>
      </c>
      <c r="AH48" s="9">
        <v>1833.64550527289</v>
      </c>
      <c r="AI48" s="9">
        <v>1982.66974289972</v>
      </c>
      <c r="AJ48" s="9">
        <v>2123.89682332719</v>
      </c>
      <c r="AK48" s="48">
        <v>2027.51229714233</v>
      </c>
      <c r="AL48" s="9">
        <v>2053.00183651026</v>
      </c>
      <c r="AM48" s="9">
        <v>2094.67654882531</v>
      </c>
      <c r="AN48" s="9">
        <v>2148.38853166742</v>
      </c>
      <c r="AO48" s="9">
        <v>2349.6835279662</v>
      </c>
      <c r="AP48" s="9">
        <v>2586.28373610401</v>
      </c>
      <c r="AQ48" s="9">
        <v>3009.34952230227</v>
      </c>
      <c r="AR48" s="9">
        <v>3807.8195497433</v>
      </c>
      <c r="AS48" s="9">
        <v>4933.79618067864</v>
      </c>
    </row>
    <row r="49" ht="15.0" customHeight="1">
      <c r="A49" s="45" t="s">
        <v>218</v>
      </c>
      <c r="B49" s="46">
        <v>196.908698582145</v>
      </c>
      <c r="C49" s="9">
        <v>242.667229563904</v>
      </c>
      <c r="D49" s="9">
        <v>251.212497397847</v>
      </c>
      <c r="E49" s="9">
        <v>200.951620998204</v>
      </c>
      <c r="F49" s="9">
        <v>197.36812158397</v>
      </c>
      <c r="G49" s="9">
        <v>240.186345354049</v>
      </c>
      <c r="H49" s="9">
        <v>259.39022683033</v>
      </c>
      <c r="I49" s="9">
        <v>319.758409270119</v>
      </c>
      <c r="J49" s="9">
        <v>451.834252680741</v>
      </c>
      <c r="K49" s="9">
        <v>700.677965081178</v>
      </c>
      <c r="L49" s="9">
        <v>728.705524730507</v>
      </c>
      <c r="M49" s="9">
        <v>757.854076504289</v>
      </c>
      <c r="N49" s="9">
        <v>786.65254795068</v>
      </c>
      <c r="O49" s="9">
        <v>810.25218870842</v>
      </c>
      <c r="P49" s="9">
        <v>844.282569299593</v>
      </c>
      <c r="Q49" s="9">
        <v>878.053835317737</v>
      </c>
      <c r="R49" s="9">
        <v>914.93171967422</v>
      </c>
      <c r="S49" s="9">
        <v>960.678305657931</v>
      </c>
      <c r="T49" s="9">
        <v>994.301637469487</v>
      </c>
      <c r="U49" s="9">
        <v>1033.07969536152</v>
      </c>
      <c r="V49" s="9">
        <v>1079.56864129123</v>
      </c>
      <c r="W49" s="9">
        <v>1397.17675324097</v>
      </c>
      <c r="X49" s="9">
        <v>1268.02176712688</v>
      </c>
      <c r="Y49" s="9">
        <v>1299.72215573712</v>
      </c>
      <c r="Z49" s="48">
        <v>1333.54742484018</v>
      </c>
      <c r="AA49" s="9">
        <v>1397.10818390657</v>
      </c>
      <c r="AB49" s="9">
        <v>1464.30884500037</v>
      </c>
      <c r="AC49" s="9">
        <v>1531.52061713121</v>
      </c>
      <c r="AD49" s="9">
        <v>1589.49496037569</v>
      </c>
      <c r="AE49" s="48">
        <v>1648.73684297241</v>
      </c>
      <c r="AF49" s="9">
        <v>1129.56189097181</v>
      </c>
      <c r="AG49" s="9">
        <v>1461.70433791408</v>
      </c>
      <c r="AH49" s="9">
        <v>1592.12549262165</v>
      </c>
      <c r="AI49" s="9">
        <v>1723.77590336584</v>
      </c>
      <c r="AJ49" s="9">
        <v>1851.82828223424</v>
      </c>
      <c r="AK49" s="48">
        <v>1748.75369502802</v>
      </c>
      <c r="AL49" s="9">
        <v>1782.32591030581</v>
      </c>
      <c r="AM49" s="9">
        <v>1807.43427909994</v>
      </c>
      <c r="AN49" s="9">
        <v>1850.83557329187</v>
      </c>
      <c r="AO49" s="9">
        <v>2097.66834717462</v>
      </c>
      <c r="AP49" s="9">
        <v>2318.54659945653</v>
      </c>
      <c r="AQ49" s="9">
        <v>2718.36453009655</v>
      </c>
      <c r="AR49" s="9">
        <v>3502.80339011253</v>
      </c>
      <c r="AS49" s="9">
        <v>4584.78334488481</v>
      </c>
    </row>
    <row r="50" ht="15.0" customHeight="1">
      <c r="A50" s="45" t="s">
        <v>220</v>
      </c>
      <c r="B50" s="46">
        <v>85.2620436242996</v>
      </c>
      <c r="C50" s="9">
        <v>129.600530593047</v>
      </c>
      <c r="D50" s="9">
        <v>85.6840034043784</v>
      </c>
      <c r="E50" s="9">
        <v>66.3360026356478</v>
      </c>
      <c r="F50" s="9">
        <v>57.6253135321601</v>
      </c>
      <c r="G50" s="9">
        <v>62.9210723224517</v>
      </c>
      <c r="H50" s="9">
        <v>69.381309265519</v>
      </c>
      <c r="I50" s="9">
        <v>78.4158279676718</v>
      </c>
      <c r="J50" s="9">
        <v>87.8265123652438</v>
      </c>
      <c r="K50" s="9">
        <v>84.7190566204772</v>
      </c>
      <c r="L50" s="9">
        <v>88.1078188852963</v>
      </c>
      <c r="M50" s="9">
        <v>90.3092059550099</v>
      </c>
      <c r="N50" s="9">
        <v>92.9292817987552</v>
      </c>
      <c r="O50" s="9">
        <v>95.2516960922122</v>
      </c>
      <c r="P50" s="9">
        <v>97.7278476698841</v>
      </c>
      <c r="Q50" s="9">
        <v>100.658669088106</v>
      </c>
      <c r="R50" s="9">
        <v>104.181542600857</v>
      </c>
      <c r="S50" s="9">
        <v>107.933386536907</v>
      </c>
      <c r="T50" s="9">
        <v>112.035228119999</v>
      </c>
      <c r="U50" s="9">
        <v>118.511820093302</v>
      </c>
      <c r="V50" s="9">
        <v>123.250676504814</v>
      </c>
      <c r="W50" s="9">
        <v>159.511690986055</v>
      </c>
      <c r="X50" s="9">
        <v>128.759940541398</v>
      </c>
      <c r="Y50" s="9">
        <v>142.729418472879</v>
      </c>
      <c r="Z50" s="48">
        <v>158.214504179489</v>
      </c>
      <c r="AA50" s="9">
        <v>176.097953214293</v>
      </c>
      <c r="AB50" s="9">
        <v>196.047043395672</v>
      </c>
      <c r="AC50" s="9">
        <v>217.59267568755</v>
      </c>
      <c r="AD50" s="9">
        <v>238.474555732165</v>
      </c>
      <c r="AE50" s="48">
        <v>260.068281120473</v>
      </c>
      <c r="AF50" s="9">
        <v>265.134709990032</v>
      </c>
      <c r="AG50" s="9">
        <v>226.201573105364</v>
      </c>
      <c r="AH50" s="9">
        <v>241.520012651235</v>
      </c>
      <c r="AI50" s="9">
        <v>258.893839533888</v>
      </c>
      <c r="AJ50" s="9">
        <v>272.068541092947</v>
      </c>
      <c r="AK50" s="48">
        <v>278.758602114305</v>
      </c>
      <c r="AL50" s="9">
        <v>270.675926204442</v>
      </c>
      <c r="AM50" s="9">
        <v>287.242269725375</v>
      </c>
      <c r="AN50" s="9">
        <v>297.552958375545</v>
      </c>
      <c r="AO50" s="9">
        <v>252.015180791583</v>
      </c>
      <c r="AP50" s="9">
        <v>267.737136647484</v>
      </c>
      <c r="AQ50" s="9">
        <v>290.984992205722</v>
      </c>
      <c r="AR50" s="9">
        <v>305.016159630769</v>
      </c>
      <c r="AS50" s="9">
        <v>349.012835793827</v>
      </c>
    </row>
    <row r="51" ht="15.0" customHeight="1">
      <c r="A51" s="45" t="s">
        <v>224</v>
      </c>
      <c r="B51" s="46">
        <v>1063.9598100967</v>
      </c>
      <c r="C51" s="9">
        <v>1074.04932986028</v>
      </c>
      <c r="D51" s="9">
        <v>1086.70398176713</v>
      </c>
      <c r="E51" s="9">
        <v>1086.9319935132</v>
      </c>
      <c r="F51" s="9">
        <v>1091.37822256156</v>
      </c>
      <c r="G51" s="9">
        <v>1100.90911354726</v>
      </c>
      <c r="H51" s="9">
        <v>1112.48640995394</v>
      </c>
      <c r="I51" s="9">
        <v>1123.07755555887</v>
      </c>
      <c r="J51" s="9">
        <v>1139.87062065688</v>
      </c>
      <c r="K51" s="9">
        <v>1196.55434072975</v>
      </c>
      <c r="L51" s="9">
        <v>1244.15179272176</v>
      </c>
      <c r="M51" s="9">
        <v>1292.34777554719</v>
      </c>
      <c r="N51" s="9">
        <v>1346.31245554819</v>
      </c>
      <c r="O51" s="9">
        <v>1386.53372755484</v>
      </c>
      <c r="P51" s="9">
        <v>1430.71670364946</v>
      </c>
      <c r="Q51" s="9">
        <v>1445.02444071532</v>
      </c>
      <c r="R51" s="9">
        <v>1536.90747408766</v>
      </c>
      <c r="S51" s="9">
        <v>1628.64800011872</v>
      </c>
      <c r="T51" s="9">
        <v>1690.33087772416</v>
      </c>
      <c r="U51" s="9">
        <v>1756.0780647033</v>
      </c>
      <c r="V51" s="9">
        <v>1843.81730625771</v>
      </c>
      <c r="W51" s="9">
        <v>1899.1317029465</v>
      </c>
      <c r="X51" s="9">
        <v>1956.10596028225</v>
      </c>
      <c r="Y51" s="9">
        <v>2168.32863550952</v>
      </c>
      <c r="Z51" s="48">
        <v>2408.82369996498</v>
      </c>
      <c r="AA51" s="9">
        <v>2690.06580588712</v>
      </c>
      <c r="AB51" s="9">
        <v>3005.42488820738</v>
      </c>
      <c r="AC51" s="9">
        <v>3359.76449465391</v>
      </c>
      <c r="AD51" s="9">
        <v>3727.34154193052</v>
      </c>
      <c r="AE51" s="48">
        <v>4127.98820852779</v>
      </c>
      <c r="AF51" s="9">
        <v>4145.86607856537</v>
      </c>
      <c r="AG51" s="9">
        <v>4379.93680213637</v>
      </c>
      <c r="AH51" s="9">
        <v>4904.63697255215</v>
      </c>
      <c r="AI51" s="9">
        <v>5155.72795011552</v>
      </c>
      <c r="AJ51" s="9">
        <v>5264.69589192947</v>
      </c>
      <c r="AK51" s="48">
        <v>4903.60464454333</v>
      </c>
      <c r="AL51" s="9">
        <v>4694.39126518097</v>
      </c>
      <c r="AM51" s="9">
        <v>4471.86175418004</v>
      </c>
      <c r="AN51" s="9">
        <v>4366.35059910348</v>
      </c>
      <c r="AO51" s="9">
        <v>3963.58918273438</v>
      </c>
      <c r="AP51" s="9">
        <v>4053.08320178777</v>
      </c>
      <c r="AQ51" s="9">
        <v>4213.07040774362</v>
      </c>
      <c r="AR51" s="9">
        <v>4283.64740008325</v>
      </c>
      <c r="AS51" s="9">
        <v>4317.42767986036</v>
      </c>
    </row>
    <row r="52" ht="15.0" customHeight="1">
      <c r="A52" s="45" t="s">
        <v>226</v>
      </c>
      <c r="B52" s="46">
        <v>421.381975736133</v>
      </c>
      <c r="C52" s="9">
        <v>423.670540438026</v>
      </c>
      <c r="D52" s="9">
        <v>481.170728573099</v>
      </c>
      <c r="E52" s="9">
        <v>518.359904978868</v>
      </c>
      <c r="F52" s="9">
        <v>602.464657773452</v>
      </c>
      <c r="G52" s="9">
        <v>650.810587100952</v>
      </c>
      <c r="H52" s="9">
        <v>658.620314146163</v>
      </c>
      <c r="I52" s="9">
        <v>665.199937664107</v>
      </c>
      <c r="J52" s="9">
        <v>675.183801176117</v>
      </c>
      <c r="K52" s="9">
        <v>688.686332917288</v>
      </c>
      <c r="L52" s="9">
        <v>699.013481134582</v>
      </c>
      <c r="M52" s="9">
        <v>719.982455215682</v>
      </c>
      <c r="N52" s="9">
        <v>748.789763400765</v>
      </c>
      <c r="O52" s="9">
        <v>774.993829237446</v>
      </c>
      <c r="P52" s="9">
        <v>803.658102128661</v>
      </c>
      <c r="Q52" s="9">
        <v>832.579838548839</v>
      </c>
      <c r="R52" s="9">
        <v>861.730431439207</v>
      </c>
      <c r="S52" s="9">
        <v>904.812661952352</v>
      </c>
      <c r="T52" s="9">
        <v>944.633687765298</v>
      </c>
      <c r="U52" s="9">
        <v>985.255711223907</v>
      </c>
      <c r="V52" s="9">
        <v>1034.52213796712</v>
      </c>
      <c r="W52" s="9">
        <v>1101.58629479638</v>
      </c>
      <c r="X52" s="9">
        <v>1150.01623736631</v>
      </c>
      <c r="Y52" s="9">
        <v>1189.53809550029</v>
      </c>
      <c r="Z52" s="48">
        <v>1252.57891570198</v>
      </c>
      <c r="AA52" s="9">
        <v>1336.32725227774</v>
      </c>
      <c r="AB52" s="9">
        <v>1425.79747728665</v>
      </c>
      <c r="AC52" s="9">
        <v>1521.04072850365</v>
      </c>
      <c r="AD52" s="9">
        <v>1615.16411014627</v>
      </c>
      <c r="AE52" s="48">
        <v>1711.6980063275</v>
      </c>
      <c r="AF52" s="9">
        <v>2031.46569538178</v>
      </c>
      <c r="AG52" s="9">
        <v>2190.07253239413</v>
      </c>
      <c r="AH52" s="9">
        <v>2265.11017635178</v>
      </c>
      <c r="AI52" s="9">
        <v>2390.43811594251</v>
      </c>
      <c r="AJ52" s="9">
        <v>2516.07396538732</v>
      </c>
      <c r="AK52" s="48">
        <v>2536.29202768567</v>
      </c>
      <c r="AL52" s="9">
        <v>2529.67519188223</v>
      </c>
      <c r="AM52" s="9">
        <v>2544.13568439223</v>
      </c>
      <c r="AN52" s="9">
        <v>2547.29625405525</v>
      </c>
      <c r="AO52" s="9">
        <v>2345.58368181769</v>
      </c>
      <c r="AP52" s="9">
        <v>2346.81682303114</v>
      </c>
      <c r="AQ52" s="9">
        <v>2400.31510001911</v>
      </c>
      <c r="AR52" s="9">
        <v>2458.54330824913</v>
      </c>
      <c r="AS52" s="9">
        <v>2491.68607078216</v>
      </c>
    </row>
    <row r="53" ht="15.0" customHeight="1">
      <c r="A53" s="45" t="s">
        <v>228</v>
      </c>
      <c r="B53" s="46">
        <v>3.23480986111588</v>
      </c>
      <c r="C53" s="9">
        <v>3.25237841433308</v>
      </c>
      <c r="D53" s="9">
        <v>3.69378831391508</v>
      </c>
      <c r="E53" s="9">
        <v>3.97927730369448</v>
      </c>
      <c r="F53" s="9">
        <v>4.62492163442637</v>
      </c>
      <c r="G53" s="9">
        <v>4.9960573211396</v>
      </c>
      <c r="H53" s="9">
        <v>5.05601000899328</v>
      </c>
      <c r="I53" s="9">
        <v>5.10651959949271</v>
      </c>
      <c r="J53" s="9">
        <v>5.18316241290272</v>
      </c>
      <c r="K53" s="9">
        <v>5.28681687688416</v>
      </c>
      <c r="L53" s="9">
        <v>5.36609497327675</v>
      </c>
      <c r="M53" s="9">
        <v>5.5270668421293</v>
      </c>
      <c r="N53" s="9">
        <v>5.74821100575073</v>
      </c>
      <c r="O53" s="9">
        <v>5.9493709400876</v>
      </c>
      <c r="P53" s="9">
        <v>6.16941706913296</v>
      </c>
      <c r="Q53" s="9">
        <v>6.39143966041525</v>
      </c>
      <c r="R53" s="9">
        <v>6.61521910701926</v>
      </c>
      <c r="S53" s="9">
        <v>6.94594712133294</v>
      </c>
      <c r="T53" s="9">
        <v>7.25163994731212</v>
      </c>
      <c r="U53" s="9">
        <v>7.56348176691732</v>
      </c>
      <c r="V53" s="9">
        <v>7.94168380741149</v>
      </c>
      <c r="W53" s="9">
        <v>8.45651312696118</v>
      </c>
      <c r="X53" s="9">
        <v>8.8282937555104</v>
      </c>
      <c r="Y53" s="9">
        <v>9.13168997030596</v>
      </c>
      <c r="Z53" s="48">
        <v>9.61563346714157</v>
      </c>
      <c r="AA53" s="9">
        <v>10.2585417086108</v>
      </c>
      <c r="AB53" s="9">
        <v>10.9453749924252</v>
      </c>
      <c r="AC53" s="9">
        <v>11.6765258863458</v>
      </c>
      <c r="AD53" s="9">
        <v>12.3990799124577</v>
      </c>
      <c r="AE53" s="48">
        <v>13.140138660292</v>
      </c>
      <c r="AF53" s="9">
        <v>13.8249702228945</v>
      </c>
      <c r="AG53" s="9">
        <v>13.370386500991</v>
      </c>
      <c r="AH53" s="9">
        <v>13.7202107959574</v>
      </c>
      <c r="AI53" s="9">
        <v>13.9824783991986</v>
      </c>
      <c r="AJ53" s="9">
        <v>14.4739788525087</v>
      </c>
      <c r="AK53" s="48">
        <v>14.3747495892448</v>
      </c>
      <c r="AL53" s="9">
        <v>14.4665039446032</v>
      </c>
      <c r="AM53" s="9">
        <v>14.4408777271348</v>
      </c>
      <c r="AN53" s="9">
        <v>14.7236946899733</v>
      </c>
      <c r="AO53" s="9">
        <v>14.3187799738983</v>
      </c>
      <c r="AP53" s="9">
        <v>14.6860762318082</v>
      </c>
      <c r="AQ53" s="9">
        <v>15.1501072417991</v>
      </c>
      <c r="AR53" s="9">
        <v>15.2445162536241</v>
      </c>
      <c r="AS53" s="9">
        <v>15.4029687031882</v>
      </c>
    </row>
    <row r="54" ht="15.0" customHeight="1">
      <c r="A54" s="45" t="s">
        <v>230</v>
      </c>
      <c r="B54" s="46">
        <v>807.075543406332</v>
      </c>
      <c r="C54" s="9">
        <v>825.921692008999</v>
      </c>
      <c r="D54" s="9">
        <v>844.767840611666</v>
      </c>
      <c r="E54" s="9">
        <v>863.613989214328</v>
      </c>
      <c r="F54" s="9">
        <v>882.460137816995</v>
      </c>
      <c r="G54" s="9">
        <v>901.306286419663</v>
      </c>
      <c r="H54" s="9">
        <v>920.15243502233</v>
      </c>
      <c r="I54" s="9">
        <v>938.998583624997</v>
      </c>
      <c r="J54" s="9">
        <v>957.844732227659</v>
      </c>
      <c r="K54" s="9">
        <v>976.690880830326</v>
      </c>
      <c r="L54" s="9">
        <v>987.03912969906</v>
      </c>
      <c r="M54" s="9">
        <v>1015.43073019161</v>
      </c>
      <c r="N54" s="9">
        <v>1044.82310740651</v>
      </c>
      <c r="O54" s="9">
        <v>1059.73685617098</v>
      </c>
      <c r="P54" s="9">
        <v>1059.11680972344</v>
      </c>
      <c r="Q54" s="9">
        <v>1089.76777244633</v>
      </c>
      <c r="R54" s="9">
        <v>1108.61392104899</v>
      </c>
      <c r="S54" s="9">
        <v>1127.46006965166</v>
      </c>
      <c r="T54" s="9">
        <v>1146.30621825433</v>
      </c>
      <c r="U54" s="9">
        <v>1165.15236685699</v>
      </c>
      <c r="V54" s="9">
        <v>1183.99880968684</v>
      </c>
      <c r="W54" s="9">
        <v>1398.32825754707</v>
      </c>
      <c r="X54" s="9">
        <v>1398.32825754707</v>
      </c>
      <c r="Y54" s="9">
        <v>1550.03627832306</v>
      </c>
      <c r="Z54" s="48">
        <v>1612.03772945598</v>
      </c>
      <c r="AA54" s="9">
        <v>1683.79698735677</v>
      </c>
      <c r="AB54" s="9">
        <v>1758.81774533556</v>
      </c>
      <c r="AC54" s="9">
        <v>1836.90925322846</v>
      </c>
      <c r="AD54" s="9">
        <v>1918.00356760423</v>
      </c>
      <c r="AE54" s="48">
        <v>1998.47087837676</v>
      </c>
      <c r="AF54" s="9">
        <v>2307.3773847574</v>
      </c>
      <c r="AG54" s="9">
        <v>1838.73241825031</v>
      </c>
      <c r="AH54" s="9">
        <v>1828.84244805329</v>
      </c>
      <c r="AI54" s="9">
        <v>1874.94316924544</v>
      </c>
      <c r="AJ54" s="9">
        <v>1644.78279054537</v>
      </c>
      <c r="AK54" s="48">
        <v>1569.51774944348</v>
      </c>
      <c r="AL54" s="9">
        <v>1563.61954935073</v>
      </c>
      <c r="AM54" s="9">
        <v>1531.58182134915</v>
      </c>
      <c r="AN54" s="9">
        <v>1470.22039111962</v>
      </c>
      <c r="AO54" s="9">
        <v>1471.6557495611</v>
      </c>
      <c r="AP54" s="9">
        <v>1467.22518407026</v>
      </c>
      <c r="AQ54" s="9">
        <v>1495.12555981005</v>
      </c>
      <c r="AR54" s="9">
        <v>1526.80856570187</v>
      </c>
      <c r="AS54" s="9">
        <v>1560.18991312637</v>
      </c>
    </row>
    <row r="55" ht="15.0" customHeight="1">
      <c r="A55" s="45" t="s">
        <v>232</v>
      </c>
      <c r="B55" s="46">
        <v>242.555852910953</v>
      </c>
      <c r="C55" s="9">
        <v>248.219812977335</v>
      </c>
      <c r="D55" s="9">
        <v>253.883773043716</v>
      </c>
      <c r="E55" s="9">
        <v>259.547733110096</v>
      </c>
      <c r="F55" s="9">
        <v>265.211693176477</v>
      </c>
      <c r="G55" s="9">
        <v>270.875653242858</v>
      </c>
      <c r="H55" s="9">
        <v>276.53961330924</v>
      </c>
      <c r="I55" s="9">
        <v>282.203573375621</v>
      </c>
      <c r="J55" s="9">
        <v>287.867533442001</v>
      </c>
      <c r="K55" s="9">
        <v>293.531493508383</v>
      </c>
      <c r="L55" s="9">
        <v>296.641522490176</v>
      </c>
      <c r="M55" s="9">
        <v>305.174241551285</v>
      </c>
      <c r="N55" s="9">
        <v>314.007730786195</v>
      </c>
      <c r="O55" s="9">
        <v>318.489860224042</v>
      </c>
      <c r="P55" s="9">
        <v>318.303513485925</v>
      </c>
      <c r="Q55" s="9">
        <v>327.515253906669</v>
      </c>
      <c r="R55" s="9">
        <v>333.179213973051</v>
      </c>
      <c r="S55" s="9">
        <v>338.843174039432</v>
      </c>
      <c r="T55" s="9">
        <v>344.507134105813</v>
      </c>
      <c r="U55" s="9">
        <v>350.171094172193</v>
      </c>
      <c r="V55" s="9">
        <v>355.834039630917</v>
      </c>
      <c r="W55" s="9">
        <v>383.82661667081</v>
      </c>
      <c r="X55" s="9">
        <v>410.827474591258</v>
      </c>
      <c r="Y55" s="9">
        <v>455.39914273445</v>
      </c>
      <c r="Z55" s="48">
        <v>503.443752292935</v>
      </c>
      <c r="AA55" s="9">
        <v>557.670182296159</v>
      </c>
      <c r="AB55" s="9">
        <v>617.776185918043</v>
      </c>
      <c r="AC55" s="9">
        <v>684.310681141416</v>
      </c>
      <c r="AD55" s="9">
        <v>752.791760868219</v>
      </c>
      <c r="AE55" s="48">
        <v>826.671624569253</v>
      </c>
      <c r="AF55" s="9">
        <v>1087.67016228199</v>
      </c>
      <c r="AG55" s="9">
        <v>1105.89640533642</v>
      </c>
      <c r="AH55" s="9">
        <v>1278.41399589687</v>
      </c>
      <c r="AI55" s="9">
        <v>1391.95337678611</v>
      </c>
      <c r="AJ55" s="9">
        <v>1498.70707234975</v>
      </c>
      <c r="AK55" s="48">
        <v>1518.93308562188</v>
      </c>
      <c r="AL55" s="9">
        <v>1507.98279371226</v>
      </c>
      <c r="AM55" s="9">
        <v>1507.56107157011</v>
      </c>
      <c r="AN55" s="9">
        <v>1519.66043594325</v>
      </c>
      <c r="AO55" s="9">
        <v>1313.38873058463</v>
      </c>
      <c r="AP55" s="9">
        <v>1303.54836052679</v>
      </c>
      <c r="AQ55" s="9">
        <v>1321.11281724691</v>
      </c>
      <c r="AR55" s="9">
        <v>1338.40261275167</v>
      </c>
      <c r="AS55" s="9">
        <v>1364.89492962591</v>
      </c>
    </row>
    <row r="56" ht="15.0" customHeight="1">
      <c r="A56" s="45" t="s">
        <v>235</v>
      </c>
      <c r="B56" s="46">
        <v>113.464667634224</v>
      </c>
      <c r="C56" s="9">
        <v>117.879364755145</v>
      </c>
      <c r="D56" s="9">
        <v>118.267647677834</v>
      </c>
      <c r="E56" s="9">
        <v>117.815393504027</v>
      </c>
      <c r="F56" s="9">
        <v>120.428557693864</v>
      </c>
      <c r="G56" s="9">
        <v>122.561297238715</v>
      </c>
      <c r="H56" s="9">
        <v>124.410068092393</v>
      </c>
      <c r="I56" s="9">
        <v>125.126019443159</v>
      </c>
      <c r="J56" s="9">
        <v>125.827569547497</v>
      </c>
      <c r="K56" s="9">
        <v>127.102934082646</v>
      </c>
      <c r="L56" s="9">
        <v>129.949377616723</v>
      </c>
      <c r="M56" s="9">
        <v>137.580707203653</v>
      </c>
      <c r="N56" s="9">
        <v>140.617721724148</v>
      </c>
      <c r="O56" s="9">
        <v>140.258809897677</v>
      </c>
      <c r="P56" s="9">
        <v>138.085497177186</v>
      </c>
      <c r="Q56" s="9">
        <v>141.098259003608</v>
      </c>
      <c r="R56" s="9">
        <v>143.408050334365</v>
      </c>
      <c r="S56" s="9">
        <v>147.503999025679</v>
      </c>
      <c r="T56" s="9">
        <v>150.268135845497</v>
      </c>
      <c r="U56" s="9">
        <v>157.227226509471</v>
      </c>
      <c r="V56" s="9">
        <v>160.233695777583</v>
      </c>
      <c r="W56" s="9">
        <v>163.350887223522</v>
      </c>
      <c r="X56" s="9">
        <v>166.434560481871</v>
      </c>
      <c r="Y56" s="9">
        <v>184.491449215364</v>
      </c>
      <c r="Z56" s="48">
        <v>203.058290422559</v>
      </c>
      <c r="AA56" s="9">
        <v>224.138673820096</v>
      </c>
      <c r="AB56" s="9">
        <v>247.443310076289</v>
      </c>
      <c r="AC56" s="9">
        <v>273.161449324426</v>
      </c>
      <c r="AD56" s="9">
        <v>300.744630947048</v>
      </c>
      <c r="AE56" s="48">
        <v>330.96366097053</v>
      </c>
      <c r="AF56" s="9">
        <v>374.115547811006</v>
      </c>
      <c r="AG56" s="9">
        <v>390.30073329294</v>
      </c>
      <c r="AH56" s="9">
        <v>427.7174493638</v>
      </c>
      <c r="AI56" s="9">
        <v>472.633658146824</v>
      </c>
      <c r="AJ56" s="9">
        <v>484.336496704468</v>
      </c>
      <c r="AK56" s="48">
        <v>475.690001419931</v>
      </c>
      <c r="AL56" s="9">
        <v>474.237255399549</v>
      </c>
      <c r="AM56" s="9">
        <v>472.701598680207</v>
      </c>
      <c r="AN56" s="9">
        <v>474.174768880818</v>
      </c>
      <c r="AO56" s="9">
        <v>484.736892328957</v>
      </c>
      <c r="AP56" s="9">
        <v>508.633276642399</v>
      </c>
      <c r="AQ56" s="9">
        <v>529.994803343302</v>
      </c>
      <c r="AR56" s="9">
        <v>544.755071154885</v>
      </c>
      <c r="AS56" s="9">
        <v>560.339692551625</v>
      </c>
    </row>
    <row r="57" ht="15.75" customHeight="1">
      <c r="A57" s="45" t="s">
        <v>236</v>
      </c>
      <c r="B57" s="46">
        <v>133.526043189255</v>
      </c>
      <c r="C57" s="9">
        <v>134.600067791075</v>
      </c>
      <c r="D57" s="9">
        <v>126.602715371374</v>
      </c>
      <c r="E57" s="9">
        <v>103.73425308033</v>
      </c>
      <c r="F57" s="9">
        <v>99.4051077622273</v>
      </c>
      <c r="G57" s="9">
        <v>103.453354338315</v>
      </c>
      <c r="H57" s="9">
        <v>104.487722647144</v>
      </c>
      <c r="I57" s="9">
        <v>105.522090955973</v>
      </c>
      <c r="J57" s="9">
        <v>107.091819220171</v>
      </c>
      <c r="K57" s="9">
        <v>109.233259041644</v>
      </c>
      <c r="L57" s="9">
        <v>110.872385818575</v>
      </c>
      <c r="M57" s="9">
        <v>118.301331372082</v>
      </c>
      <c r="N57" s="9">
        <v>130.132125447506</v>
      </c>
      <c r="O57" s="9">
        <v>147.960933837706</v>
      </c>
      <c r="P57" s="9">
        <v>171.634088407344</v>
      </c>
      <c r="Q57" s="9">
        <v>197.379284285723</v>
      </c>
      <c r="R57" s="9">
        <v>226.986011694027</v>
      </c>
      <c r="S57" s="9">
        <v>272.382553094616</v>
      </c>
      <c r="T57" s="9">
        <v>326.858733244431</v>
      </c>
      <c r="U57" s="9">
        <v>353.007101434878</v>
      </c>
      <c r="V57" s="9">
        <v>388.308329866185</v>
      </c>
      <c r="W57" s="9">
        <v>446.700191630081</v>
      </c>
      <c r="X57" s="9">
        <v>452.551400839092</v>
      </c>
      <c r="Y57" s="9">
        <v>501.649798836951</v>
      </c>
      <c r="Z57" s="48">
        <v>554.323027714831</v>
      </c>
      <c r="AA57" s="9">
        <v>613.139472570513</v>
      </c>
      <c r="AB57" s="9">
        <v>678.267727991372</v>
      </c>
      <c r="AC57" s="9">
        <v>750.842364993115</v>
      </c>
      <c r="AD57" s="9">
        <v>825.123946084465</v>
      </c>
      <c r="AE57" s="48">
        <v>900.022871892127</v>
      </c>
      <c r="AF57" s="9">
        <v>934.598469466837</v>
      </c>
      <c r="AG57" s="9">
        <v>1401.46740442018</v>
      </c>
      <c r="AH57" s="9">
        <v>1551.52676458466</v>
      </c>
      <c r="AI57" s="9">
        <v>1825.44863386545</v>
      </c>
      <c r="AJ57" s="9">
        <v>2151.38404938545</v>
      </c>
      <c r="AK57" s="48">
        <v>2257.47134794551</v>
      </c>
      <c r="AL57" s="9">
        <v>2310.54571077637</v>
      </c>
      <c r="AM57" s="9">
        <v>2360.64097530572</v>
      </c>
      <c r="AN57" s="9">
        <v>2405.54474581164</v>
      </c>
      <c r="AO57" s="9">
        <v>2266.5447050577</v>
      </c>
      <c r="AP57" s="9">
        <v>2262.89921197825</v>
      </c>
      <c r="AQ57" s="9">
        <v>2287.16471613836</v>
      </c>
      <c r="AR57" s="9">
        <v>2157.29076763888</v>
      </c>
      <c r="AS57" s="9">
        <v>2002.53531905988</v>
      </c>
    </row>
    <row r="58" ht="15.75" customHeight="1">
      <c r="A58" s="83" t="s">
        <v>238</v>
      </c>
      <c r="B58" s="84">
        <v>19549.56290135</v>
      </c>
      <c r="C58" s="85">
        <v>18219.2683101892</v>
      </c>
      <c r="D58" s="85">
        <v>16228.8070974326</v>
      </c>
      <c r="E58" s="85">
        <v>16048.3077548966</v>
      </c>
      <c r="F58" s="85">
        <v>16997.5182675707</v>
      </c>
      <c r="G58" s="85">
        <v>17007.7746750117</v>
      </c>
      <c r="H58" s="85">
        <v>17552.1034711814</v>
      </c>
      <c r="I58" s="85">
        <v>18839.5500605358</v>
      </c>
      <c r="J58" s="85">
        <v>19201.1646042822</v>
      </c>
      <c r="K58" s="85">
        <v>21462.7337224256</v>
      </c>
      <c r="L58" s="85">
        <v>21539.6138304878</v>
      </c>
      <c r="M58" s="85">
        <v>22537.0957766349</v>
      </c>
      <c r="N58" s="85">
        <v>22078.0721365684</v>
      </c>
      <c r="O58" s="85">
        <v>21676.8514173152</v>
      </c>
      <c r="P58" s="85">
        <v>21660.4870728758</v>
      </c>
      <c r="Q58" s="85">
        <v>22568.866725941</v>
      </c>
      <c r="R58" s="85">
        <v>23231.123125557</v>
      </c>
      <c r="S58" s="85">
        <v>23829.7584260223</v>
      </c>
      <c r="T58" s="85">
        <v>23967.5914196227</v>
      </c>
      <c r="U58" s="85">
        <v>25169.5387902689</v>
      </c>
      <c r="V58" s="85">
        <v>26658.6212924604</v>
      </c>
      <c r="W58" s="85">
        <v>30745.1920571774</v>
      </c>
      <c r="X58" s="85">
        <v>33004.7963398978</v>
      </c>
      <c r="Y58" s="85">
        <v>36057.7377757672</v>
      </c>
      <c r="Z58" s="86">
        <v>38378.7960609141</v>
      </c>
      <c r="AA58" s="85">
        <v>40703.6813830967</v>
      </c>
      <c r="AB58" s="85">
        <v>43385.8770815598</v>
      </c>
      <c r="AC58" s="85">
        <v>46320.0149440127</v>
      </c>
      <c r="AD58" s="85">
        <v>50042.3606485094</v>
      </c>
      <c r="AE58" s="86">
        <v>54612.264176578</v>
      </c>
      <c r="AF58" s="85">
        <v>57511.0417650381</v>
      </c>
      <c r="AG58" s="85">
        <v>59929.8930440608</v>
      </c>
      <c r="AH58" s="85">
        <v>63218.7217300189</v>
      </c>
      <c r="AI58" s="85">
        <v>67152.7858352847</v>
      </c>
      <c r="AJ58" s="85">
        <v>69023.9299433855</v>
      </c>
      <c r="AK58" s="86">
        <v>67931.2359268811</v>
      </c>
      <c r="AL58" s="85">
        <v>68490.9803364587</v>
      </c>
      <c r="AM58" s="85">
        <v>69799.941948336</v>
      </c>
      <c r="AN58" s="85">
        <v>71387.8266741664</v>
      </c>
      <c r="AO58" s="85">
        <v>70014.3718479425</v>
      </c>
      <c r="AP58" s="85">
        <v>72393.6734436774</v>
      </c>
      <c r="AQ58" s="85">
        <v>74639.4689434296</v>
      </c>
      <c r="AR58" s="85">
        <v>76684.940769791</v>
      </c>
      <c r="AS58" s="85">
        <v>79289.3926326924</v>
      </c>
    </row>
    <row r="59" ht="15.75" customHeight="1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9"/>
      <c r="AA59" s="88"/>
      <c r="AB59" s="88"/>
      <c r="AC59" s="88"/>
      <c r="AD59" s="90"/>
      <c r="AE59" s="89"/>
      <c r="AF59" s="88"/>
      <c r="AG59" s="88"/>
      <c r="AH59" s="88"/>
      <c r="AI59" s="88"/>
      <c r="AJ59" s="88"/>
      <c r="AK59" s="89"/>
      <c r="AL59" s="88"/>
      <c r="AM59" s="88"/>
      <c r="AN59" s="88"/>
      <c r="AO59" s="88"/>
      <c r="AP59" s="88"/>
      <c r="AQ59" s="88"/>
      <c r="AR59" s="88"/>
      <c r="AS59" s="88"/>
    </row>
    <row r="60" ht="15.75" customHeight="1">
      <c r="A60" s="91" t="s">
        <v>241</v>
      </c>
      <c r="B60" s="92">
        <v>198.971475971065</v>
      </c>
      <c r="C60" s="92">
        <v>185.696488239414</v>
      </c>
      <c r="D60" s="92">
        <v>165.583695202622</v>
      </c>
      <c r="E60" s="92">
        <v>163.183407607076</v>
      </c>
      <c r="F60" s="92">
        <v>172.562819762294</v>
      </c>
      <c r="G60" s="92">
        <v>172.770764668853</v>
      </c>
      <c r="H60" s="92">
        <v>178.240978508479</v>
      </c>
      <c r="I60" s="92">
        <v>191.142370279952</v>
      </c>
      <c r="J60" s="92">
        <v>194.79937767274</v>
      </c>
      <c r="K60" s="92">
        <v>217.470813163752</v>
      </c>
      <c r="L60" s="92">
        <v>218.282282728249</v>
      </c>
      <c r="M60" s="92">
        <v>228.450486769861</v>
      </c>
      <c r="N60" s="92">
        <v>224.168220474581</v>
      </c>
      <c r="O60" s="92">
        <v>220.620119069354</v>
      </c>
      <c r="P60" s="92">
        <v>221.072716923822</v>
      </c>
      <c r="Q60" s="92">
        <v>230.826692534362</v>
      </c>
      <c r="R60" s="92">
        <v>238.219956020507</v>
      </c>
      <c r="S60" s="92">
        <v>245.388036773114</v>
      </c>
      <c r="T60" s="92">
        <v>248.184448609179</v>
      </c>
      <c r="U60" s="92">
        <v>260.88459646616</v>
      </c>
      <c r="V60" s="92">
        <v>276.69435583609</v>
      </c>
      <c r="W60" s="92">
        <v>319.080075386638</v>
      </c>
      <c r="X60" s="92">
        <v>341.828432378491</v>
      </c>
      <c r="Y60" s="92">
        <v>373.635938360556</v>
      </c>
      <c r="Z60" s="93">
        <v>398.217670075329</v>
      </c>
      <c r="AA60" s="92">
        <v>422.997587620064</v>
      </c>
      <c r="AB60" s="92">
        <v>451.514913111461</v>
      </c>
      <c r="AC60" s="92">
        <v>482.745498704111</v>
      </c>
      <c r="AD60" s="92">
        <v>521.902596569045</v>
      </c>
      <c r="AE60" s="93">
        <v>857.08613</v>
      </c>
      <c r="AF60" s="92">
        <v>669.31013</v>
      </c>
      <c r="AG60" s="92">
        <v>740.15742</v>
      </c>
      <c r="AH60" s="92">
        <v>724.12383</v>
      </c>
      <c r="AI60" s="92">
        <v>824.673384465071</v>
      </c>
      <c r="AJ60" s="92">
        <v>756.762774962761</v>
      </c>
      <c r="AK60" s="93">
        <v>721.194437808872</v>
      </c>
      <c r="AL60" s="92">
        <v>714.710778507049</v>
      </c>
      <c r="AM60" s="92">
        <v>736.406673348582</v>
      </c>
      <c r="AN60" s="92">
        <v>706.26732157574</v>
      </c>
      <c r="AO60" s="92">
        <v>786.171644070209</v>
      </c>
      <c r="AP60" s="92">
        <v>989.09794155895</v>
      </c>
      <c r="AQ60" s="92">
        <v>112.947637589178</v>
      </c>
      <c r="AR60" s="92">
        <v>1251.15928185868</v>
      </c>
      <c r="AS60" s="92">
        <v>1317.1407135201</v>
      </c>
    </row>
    <row r="61" ht="15.75" customHeight="1">
      <c r="A61" s="91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3"/>
      <c r="AA61" s="92"/>
      <c r="AB61" s="92"/>
      <c r="AC61" s="92"/>
      <c r="AD61" s="92"/>
      <c r="AE61" s="93"/>
      <c r="AF61" s="92"/>
      <c r="AG61" s="92"/>
      <c r="AH61" s="92"/>
      <c r="AI61" s="92"/>
      <c r="AJ61" s="92"/>
      <c r="AK61" s="93"/>
      <c r="AL61" s="92"/>
      <c r="AM61" s="92"/>
      <c r="AN61" s="92"/>
      <c r="AO61" s="92"/>
      <c r="AP61" s="92"/>
      <c r="AQ61" s="92"/>
      <c r="AR61" s="92"/>
      <c r="AS61" s="92"/>
    </row>
    <row r="62" ht="15.75" customHeight="1">
      <c r="A62" s="91" t="s">
        <v>247</v>
      </c>
      <c r="B62" s="96">
        <v>19748.5343773211</v>
      </c>
      <c r="C62" s="96">
        <v>18404.9647984286</v>
      </c>
      <c r="D62" s="96">
        <v>16394.3907926352</v>
      </c>
      <c r="E62" s="96">
        <v>16211.4911625037</v>
      </c>
      <c r="F62" s="96">
        <v>17170.081087333</v>
      </c>
      <c r="G62" s="96">
        <v>17180.5454396805</v>
      </c>
      <c r="H62" s="96">
        <v>17730.3444496898</v>
      </c>
      <c r="I62" s="96">
        <v>19030.6924308157</v>
      </c>
      <c r="J62" s="96">
        <v>19395.9639819549</v>
      </c>
      <c r="K62" s="96">
        <v>21680.2045355893</v>
      </c>
      <c r="L62" s="96">
        <v>21757.8961132161</v>
      </c>
      <c r="M62" s="96">
        <v>22765.5462634047</v>
      </c>
      <c r="N62" s="96">
        <v>22302.240357043</v>
      </c>
      <c r="O62" s="96">
        <v>21897.4715363846</v>
      </c>
      <c r="P62" s="96">
        <v>21881.5597897996</v>
      </c>
      <c r="Q62" s="96">
        <v>22799.6934184753</v>
      </c>
      <c r="R62" s="96">
        <v>23469.3430815775</v>
      </c>
      <c r="S62" s="96">
        <v>24075.1464627955</v>
      </c>
      <c r="T62" s="96">
        <v>24215.7758682319</v>
      </c>
      <c r="U62" s="96">
        <v>25430.4233867351</v>
      </c>
      <c r="V62" s="96">
        <v>26935.3156482965</v>
      </c>
      <c r="W62" s="96">
        <v>31064.272132564</v>
      </c>
      <c r="X62" s="96">
        <v>33346.6247722763</v>
      </c>
      <c r="Y62" s="96">
        <v>36431.3737141277</v>
      </c>
      <c r="Z62" s="97">
        <v>38777.0137309895</v>
      </c>
      <c r="AA62" s="96">
        <v>41126.6789707168</v>
      </c>
      <c r="AB62" s="96">
        <v>43837.3919946713</v>
      </c>
      <c r="AC62" s="96">
        <v>46802.7604427168</v>
      </c>
      <c r="AD62" s="96">
        <v>50564.2632450785</v>
      </c>
      <c r="AE62" s="97">
        <v>55469.350306578</v>
      </c>
      <c r="AF62" s="96">
        <v>58180.3518950381</v>
      </c>
      <c r="AG62" s="96">
        <v>60670.0504640608</v>
      </c>
      <c r="AH62" s="96">
        <v>63942.8455600189</v>
      </c>
      <c r="AI62" s="96">
        <v>67977.4592197498</v>
      </c>
      <c r="AJ62" s="96">
        <v>69780.6927183482</v>
      </c>
      <c r="AK62" s="97">
        <v>68652.43036469</v>
      </c>
      <c r="AL62" s="96">
        <v>69205.6911149657</v>
      </c>
      <c r="AM62" s="96">
        <v>70536.3486216846</v>
      </c>
      <c r="AN62" s="96">
        <v>72094.0939957421</v>
      </c>
      <c r="AO62" s="96">
        <v>70800.5434920127</v>
      </c>
      <c r="AP62" s="96">
        <v>73382.7713852363</v>
      </c>
      <c r="AQ62" s="96">
        <v>74752.4165810188</v>
      </c>
      <c r="AR62" s="96">
        <v>77936.1000516496</v>
      </c>
      <c r="AS62" s="96">
        <v>80606.5333462125</v>
      </c>
    </row>
    <row r="63" ht="15.0" customHeight="1">
      <c r="A63" s="98" t="s">
        <v>248</v>
      </c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</row>
    <row r="64" ht="15.0" customHeight="1">
      <c r="A64" s="98" t="s">
        <v>249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</row>
    <row r="65" ht="15.0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</row>
    <row r="66" ht="15.0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</row>
    <row r="67" ht="15.0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</row>
    <row r="68" ht="15.0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Return to Menu" location="null!A1" ref="A1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0.0"/>
    <col customWidth="1" min="3" max="3" width="13.0"/>
    <col customWidth="1" min="4" max="4" width="11.0"/>
    <col customWidth="1" min="5" max="5" width="13.0"/>
    <col customWidth="1" min="6" max="6" width="14.25"/>
    <col customWidth="1" min="7" max="7" width="13.0"/>
    <col customWidth="1" min="8" max="8" width="12.88"/>
    <col customWidth="1" min="9" max="9" width="8.63"/>
    <col customWidth="1" min="10" max="10" width="30.0"/>
    <col customWidth="1" min="11" max="11" width="8.63"/>
    <col customWidth="1" min="12" max="12" width="11.0"/>
    <col customWidth="1" min="13" max="18" width="8.63"/>
    <col customWidth="1" min="19" max="19" width="55.88"/>
    <col customWidth="1" min="20" max="20" width="24.75"/>
    <col customWidth="1" min="21" max="21" width="24.88"/>
    <col customWidth="1" min="22" max="22" width="21.75"/>
    <col customWidth="1" min="23" max="24" width="11.0"/>
    <col customWidth="1" min="25" max="25" width="60.0"/>
    <col customWidth="1" min="26" max="28" width="8.63"/>
  </cols>
  <sheetData>
    <row r="2" ht="17.25" customHeight="1">
      <c r="B2" s="1" t="s">
        <v>77</v>
      </c>
    </row>
    <row r="4" ht="15.0" customHeight="1">
      <c r="B4" s="5" t="s">
        <v>79</v>
      </c>
      <c r="C4" s="8"/>
      <c r="D4" s="8"/>
      <c r="E4" s="8"/>
      <c r="F4" s="8"/>
      <c r="G4" s="8"/>
      <c r="H4" s="8"/>
      <c r="I4" s="8"/>
      <c r="J4" s="10"/>
    </row>
    <row r="5" ht="15.0" customHeight="1">
      <c r="B5" s="11"/>
      <c r="J5" s="12"/>
    </row>
    <row r="6" ht="15.0" customHeight="1">
      <c r="B6" s="11"/>
      <c r="J6" s="12"/>
    </row>
    <row r="7" ht="15.0" customHeight="1">
      <c r="B7" s="11"/>
      <c r="J7" s="12"/>
    </row>
    <row r="8" ht="15.0" customHeight="1">
      <c r="B8" s="14"/>
      <c r="C8" s="15"/>
      <c r="D8" s="15"/>
      <c r="E8" s="15"/>
      <c r="F8" s="15"/>
      <c r="G8" s="15"/>
      <c r="H8" s="15"/>
      <c r="I8" s="15"/>
      <c r="J8" s="17"/>
    </row>
    <row r="10" ht="15.0" customHeight="1">
      <c r="B10" s="21" t="s">
        <v>83</v>
      </c>
    </row>
    <row r="13" ht="50.25" customHeight="1">
      <c r="B13" s="18" t="s">
        <v>4</v>
      </c>
      <c r="C13" s="18" t="s">
        <v>85</v>
      </c>
      <c r="D13" s="18" t="s">
        <v>33</v>
      </c>
      <c r="E13" s="18" t="s">
        <v>87</v>
      </c>
      <c r="F13" s="18" t="s">
        <v>88</v>
      </c>
      <c r="G13" s="18" t="s">
        <v>89</v>
      </c>
      <c r="H13" s="18" t="s">
        <v>90</v>
      </c>
      <c r="J13" s="21" t="s">
        <v>91</v>
      </c>
      <c r="S13" s="21" t="s">
        <v>93</v>
      </c>
    </row>
    <row r="14" ht="15.0" customHeight="1">
      <c r="B14" s="50">
        <f>'Macro-Economic_Demographic Data'!A4</f>
        <v>1995</v>
      </c>
      <c r="C14" s="51">
        <f>'Macro-Economic_Demographic Data'!P4</f>
        <v>1413.596952</v>
      </c>
      <c r="D14" s="34">
        <f t="shared" ref="D14:D43" si="1">LN(C14)</f>
        <v>7.253892765</v>
      </c>
      <c r="E14" s="53">
        <f>'Macro-Economic_Demographic Data'!Z4/100</f>
        <v>0.8400492859</v>
      </c>
      <c r="F14" s="34">
        <f t="shared" ref="F14:F43" si="2">LN(E14/(1-E14))</f>
        <v>1.658594833</v>
      </c>
      <c r="G14" s="53">
        <f>'Macro-Economic_Demographic Data'!Y4/100</f>
        <v>0.1715976838</v>
      </c>
      <c r="H14" s="34">
        <f t="shared" ref="H14:H43" si="3">LN(G14/(1-G14))</f>
        <v>-1.574346237</v>
      </c>
      <c r="J14" s="22" t="s">
        <v>102</v>
      </c>
      <c r="L14" s="54">
        <f>SLOPE(F14:F43,D14:D43)</f>
        <v>0.09963947313</v>
      </c>
      <c r="S14" s="22" t="s">
        <v>105</v>
      </c>
      <c r="T14" s="38">
        <f>SLOPE(H14:H33,D14:D33)</f>
        <v>0.7612008834</v>
      </c>
    </row>
    <row r="15" ht="15.0" customHeight="1">
      <c r="B15" s="50">
        <f>'Macro-Economic_Demographic Data'!A5</f>
        <v>1996</v>
      </c>
      <c r="C15" s="51">
        <f>'Macro-Economic_Demographic Data'!P5</f>
        <v>1434.811134</v>
      </c>
      <c r="D15" s="34">
        <f t="shared" si="1"/>
        <v>7.268788506</v>
      </c>
      <c r="E15" s="53">
        <f>'Macro-Economic_Demographic Data'!Z5/100</f>
        <v>0.8403647614</v>
      </c>
      <c r="F15" s="34">
        <f t="shared" si="2"/>
        <v>1.660944583</v>
      </c>
      <c r="G15" s="53">
        <f>'Macro-Economic_Demographic Data'!Y5/100</f>
        <v>0.1790320578</v>
      </c>
      <c r="H15" s="34">
        <f t="shared" si="3"/>
        <v>-1.522919178</v>
      </c>
      <c r="J15" s="22" t="s">
        <v>111</v>
      </c>
      <c r="L15" s="38">
        <f>INTERCEPT(F14:F43,D14:D43)</f>
        <v>0.9466369756</v>
      </c>
      <c r="S15" s="22" t="s">
        <v>112</v>
      </c>
      <c r="T15" s="38">
        <f>INTERCEPT(H14:H33,D14:D33)</f>
        <v>-6.892390374</v>
      </c>
    </row>
    <row r="16" ht="15.0" customHeight="1">
      <c r="B16" s="50">
        <f>'Macro-Economic_Demographic Data'!A6</f>
        <v>1997</v>
      </c>
      <c r="C16" s="51">
        <f>'Macro-Economic_Demographic Data'!P6</f>
        <v>1438.931264</v>
      </c>
      <c r="D16" s="34">
        <f t="shared" si="1"/>
        <v>7.271655939</v>
      </c>
      <c r="E16" s="53">
        <f>'Macro-Economic_Demographic Data'!Z6/100</f>
        <v>0.8405222321</v>
      </c>
      <c r="F16" s="34">
        <f t="shared" si="2"/>
        <v>1.662118877</v>
      </c>
      <c r="G16" s="53">
        <f>'Macro-Economic_Demographic Data'!Y6/100</f>
        <v>0.1865854707</v>
      </c>
      <c r="H16" s="34">
        <f t="shared" si="3"/>
        <v>-1.472351433</v>
      </c>
      <c r="J16" s="22" t="s">
        <v>121</v>
      </c>
      <c r="L16" s="38">
        <f>RSQ(F14:F43,D14:D43)</f>
        <v>0.02095279641</v>
      </c>
    </row>
    <row r="17" ht="15.0" customHeight="1">
      <c r="B17" s="50">
        <f>'Macro-Economic_Demographic Data'!A7</f>
        <v>1998</v>
      </c>
      <c r="C17" s="51">
        <f>'Macro-Economic_Demographic Data'!P7</f>
        <v>1438.215577</v>
      </c>
      <c r="D17" s="34">
        <f t="shared" si="1"/>
        <v>7.271158441</v>
      </c>
      <c r="E17" s="53">
        <f>'Macro-Economic_Demographic Data'!Z7/100</f>
        <v>0.8404901886</v>
      </c>
      <c r="F17" s="34">
        <f t="shared" si="2"/>
        <v>1.661879846</v>
      </c>
      <c r="G17" s="53">
        <f>'Macro-Economic_Demographic Data'!Y7/100</f>
        <v>0.1942514891</v>
      </c>
      <c r="H17" s="34">
        <f t="shared" si="3"/>
        <v>-1.422618018</v>
      </c>
      <c r="J17" s="22" t="s">
        <v>126</v>
      </c>
      <c r="L17" s="54">
        <f>SLOPE(H14:H43,D14:D43)</f>
        <v>0.7365998629</v>
      </c>
      <c r="S17" s="21" t="s">
        <v>4</v>
      </c>
      <c r="T17" s="55" t="s">
        <v>130</v>
      </c>
      <c r="U17" s="55" t="s">
        <v>131</v>
      </c>
      <c r="V17" s="55" t="s">
        <v>132</v>
      </c>
    </row>
    <row r="18" ht="15.0" customHeight="1">
      <c r="B18" s="50">
        <f>'Macro-Economic_Demographic Data'!A8</f>
        <v>1999</v>
      </c>
      <c r="C18" s="51">
        <f>'Macro-Economic_Demographic Data'!P8</f>
        <v>1409.09311</v>
      </c>
      <c r="D18" s="34">
        <f t="shared" si="1"/>
        <v>7.250701592</v>
      </c>
      <c r="E18" s="53">
        <f>'Macro-Economic_Demographic Data'!Z8/100</f>
        <v>0.843</v>
      </c>
      <c r="F18" s="34">
        <f t="shared" si="2"/>
        <v>1.680721153</v>
      </c>
      <c r="G18" s="53">
        <f>'Macro-Economic_Demographic Data'!Y8/100</f>
        <v>0.2432679007</v>
      </c>
      <c r="H18" s="34">
        <f t="shared" si="3"/>
        <v>-1.134845985</v>
      </c>
      <c r="J18" s="22" t="s">
        <v>137</v>
      </c>
      <c r="L18" s="38">
        <f>INTERCEPT(H14:H43,D14:D43)</f>
        <v>-6.710088457</v>
      </c>
      <c r="S18" s="47">
        <f t="shared" ref="S18:S27" si="4">B34</f>
        <v>2015</v>
      </c>
      <c r="T18" s="56">
        <f t="shared" ref="T18:T27" si="5">100/(1+EXP(-($T$15+$T$14*D34)))</f>
        <v>28.87219602</v>
      </c>
      <c r="U18" s="56">
        <f t="shared" ref="U18:U27" si="6">G34*100</f>
        <v>25.9</v>
      </c>
      <c r="V18" s="23">
        <f t="shared" ref="V18:V27" si="7">ABS(T18-U18)</f>
        <v>2.972196022</v>
      </c>
    </row>
    <row r="19" ht="15.0" customHeight="1">
      <c r="B19" s="50">
        <f>'Macro-Economic_Demographic Data'!A9</f>
        <v>2000</v>
      </c>
      <c r="C19" s="51">
        <f>'Macro-Economic_Demographic Data'!P9</f>
        <v>1441.16643</v>
      </c>
      <c r="D19" s="34">
        <f t="shared" si="1"/>
        <v>7.273208086</v>
      </c>
      <c r="E19" s="53">
        <f>'Macro-Economic_Demographic Data'!Z9/100</f>
        <v>0.838</v>
      </c>
      <c r="F19" s="34">
        <f t="shared" si="2"/>
        <v>1.643421765</v>
      </c>
      <c r="G19" s="53">
        <f>'Macro-Economic_Demographic Data'!Y9/100</f>
        <v>0.215</v>
      </c>
      <c r="H19" s="34">
        <f t="shared" si="3"/>
        <v>-1.29504569</v>
      </c>
      <c r="J19" s="22" t="s">
        <v>145</v>
      </c>
      <c r="L19" s="38">
        <f>RSQ(H14:H43,D14:D43)</f>
        <v>0.4728460606</v>
      </c>
      <c r="S19" s="47">
        <f t="shared" si="4"/>
        <v>2016</v>
      </c>
      <c r="T19" s="56">
        <f t="shared" si="5"/>
        <v>28.23571823</v>
      </c>
      <c r="U19" s="56">
        <f t="shared" si="6"/>
        <v>34</v>
      </c>
      <c r="V19" s="23">
        <f t="shared" si="7"/>
        <v>5.764281774</v>
      </c>
    </row>
    <row r="20" ht="15.0" customHeight="1">
      <c r="B20" s="50">
        <f>'Macro-Economic_Demographic Data'!A10</f>
        <v>2001</v>
      </c>
      <c r="C20" s="51">
        <f>'Macro-Economic_Demographic Data'!P10</f>
        <v>1485.721416</v>
      </c>
      <c r="D20" s="34">
        <f t="shared" si="1"/>
        <v>7.303655735</v>
      </c>
      <c r="E20" s="53">
        <f>'Macro-Economic_Demographic Data'!Z10/100</f>
        <v>0.838</v>
      </c>
      <c r="F20" s="34">
        <f t="shared" si="2"/>
        <v>1.643421765</v>
      </c>
      <c r="G20" s="53">
        <f>'Macro-Economic_Demographic Data'!Y10/100</f>
        <v>0.218</v>
      </c>
      <c r="H20" s="34">
        <f t="shared" si="3"/>
        <v>-1.277359678</v>
      </c>
      <c r="S20" s="47">
        <f t="shared" si="4"/>
        <v>2017</v>
      </c>
      <c r="T20" s="56">
        <f t="shared" si="5"/>
        <v>27.97850119</v>
      </c>
      <c r="U20" s="56">
        <f t="shared" si="6"/>
        <v>22.6</v>
      </c>
      <c r="V20" s="23">
        <f t="shared" si="7"/>
        <v>5.378501186</v>
      </c>
    </row>
    <row r="21" ht="15.0" customHeight="1">
      <c r="B21" s="50">
        <f>'Macro-Economic_Demographic Data'!A11</f>
        <v>2002</v>
      </c>
      <c r="C21" s="51">
        <f>'Macro-Economic_Demographic Data'!P11</f>
        <v>1667.357825</v>
      </c>
      <c r="D21" s="34">
        <f t="shared" si="1"/>
        <v>7.418995512</v>
      </c>
      <c r="E21" s="53">
        <f>'Macro-Economic_Demographic Data'!Z11/100</f>
        <v>0.838</v>
      </c>
      <c r="F21" s="34">
        <f t="shared" si="2"/>
        <v>1.643421765</v>
      </c>
      <c r="G21" s="53">
        <f>'Macro-Economic_Demographic Data'!Y11/100</f>
        <v>0.221</v>
      </c>
      <c r="H21" s="34">
        <f t="shared" si="3"/>
        <v>-1.259848344</v>
      </c>
      <c r="J21" s="5" t="s">
        <v>156</v>
      </c>
      <c r="K21" s="8"/>
      <c r="L21" s="8"/>
      <c r="M21" s="8"/>
      <c r="N21" s="8"/>
      <c r="O21" s="8"/>
      <c r="P21" s="8"/>
      <c r="Q21" s="10"/>
      <c r="S21" s="47">
        <f t="shared" si="4"/>
        <v>2018</v>
      </c>
      <c r="T21" s="56">
        <f t="shared" si="5"/>
        <v>27.90416246</v>
      </c>
      <c r="U21" s="56">
        <f t="shared" si="6"/>
        <v>31</v>
      </c>
      <c r="V21" s="23">
        <f t="shared" si="7"/>
        <v>3.095837542</v>
      </c>
    </row>
    <row r="22" ht="15.0" customHeight="1">
      <c r="B22" s="50">
        <f>'Macro-Economic_Demographic Data'!A12</f>
        <v>2003</v>
      </c>
      <c r="C22" s="51">
        <f>'Macro-Economic_Demographic Data'!P12</f>
        <v>1741.232099</v>
      </c>
      <c r="D22" s="34">
        <f t="shared" si="1"/>
        <v>7.462348244</v>
      </c>
      <c r="E22" s="53">
        <f>'Macro-Economic_Demographic Data'!Z12/100</f>
        <v>0.849</v>
      </c>
      <c r="F22" s="34">
        <f t="shared" si="2"/>
        <v>1.726779349</v>
      </c>
      <c r="G22" s="53">
        <f>'Macro-Economic_Demographic Data'!Y12/100</f>
        <v>0.327</v>
      </c>
      <c r="H22" s="34">
        <f t="shared" si="3"/>
        <v>-0.7217851587</v>
      </c>
      <c r="J22" s="11"/>
      <c r="Q22" s="12"/>
      <c r="S22" s="47">
        <f t="shared" si="4"/>
        <v>2019</v>
      </c>
      <c r="T22" s="56">
        <f t="shared" si="5"/>
        <v>27.89617462</v>
      </c>
      <c r="U22" s="56">
        <f t="shared" si="6"/>
        <v>25.5</v>
      </c>
      <c r="V22" s="23">
        <f t="shared" si="7"/>
        <v>2.396174616</v>
      </c>
    </row>
    <row r="23" ht="15.0" customHeight="1">
      <c r="B23" s="50">
        <f>'Macro-Economic_Demographic Data'!A13</f>
        <v>2004</v>
      </c>
      <c r="C23" s="51">
        <f>'Macro-Economic_Demographic Data'!P13</f>
        <v>1850.541091</v>
      </c>
      <c r="D23" s="34">
        <f t="shared" si="1"/>
        <v>7.523233357</v>
      </c>
      <c r="E23" s="53">
        <f>'Macro-Economic_Demographic Data'!Z13/100</f>
        <v>0.838</v>
      </c>
      <c r="F23" s="34">
        <f t="shared" si="2"/>
        <v>1.643421765</v>
      </c>
      <c r="G23" s="53">
        <f>'Macro-Economic_Demographic Data'!Y13/100</f>
        <v>0.228</v>
      </c>
      <c r="H23" s="34">
        <f t="shared" si="3"/>
        <v>-1.219638921</v>
      </c>
      <c r="J23" s="11"/>
      <c r="Q23" s="12"/>
      <c r="S23" s="47">
        <f t="shared" si="4"/>
        <v>2020</v>
      </c>
      <c r="T23" s="56">
        <f t="shared" si="5"/>
        <v>26.57877371</v>
      </c>
      <c r="U23" s="56">
        <f t="shared" si="6"/>
        <v>24.6</v>
      </c>
      <c r="V23" s="23">
        <f t="shared" si="7"/>
        <v>1.978773714</v>
      </c>
    </row>
    <row r="24" ht="15.0" customHeight="1">
      <c r="B24" s="50">
        <f>'Macro-Economic_Demographic Data'!A14</f>
        <v>2005</v>
      </c>
      <c r="C24" s="51">
        <f>'Macro-Economic_Demographic Data'!P14</f>
        <v>1915.648963</v>
      </c>
      <c r="D24" s="34">
        <f t="shared" si="1"/>
        <v>7.557811728</v>
      </c>
      <c r="E24" s="53">
        <f>'Macro-Economic_Demographic Data'!Z14/100</f>
        <v>0.838</v>
      </c>
      <c r="F24" s="34">
        <f t="shared" si="2"/>
        <v>1.643421765</v>
      </c>
      <c r="G24" s="53">
        <f>'Macro-Economic_Demographic Data'!Y14/100</f>
        <v>0.231</v>
      </c>
      <c r="H24" s="34">
        <f t="shared" si="3"/>
        <v>-1.202673259</v>
      </c>
      <c r="J24" s="11"/>
      <c r="Q24" s="12"/>
      <c r="S24" s="47">
        <f t="shared" si="4"/>
        <v>2021</v>
      </c>
      <c r="T24" s="56">
        <f t="shared" si="5"/>
        <v>26.42978793</v>
      </c>
      <c r="U24" s="56">
        <f t="shared" si="6"/>
        <v>26.3</v>
      </c>
      <c r="V24" s="23">
        <f t="shared" si="7"/>
        <v>0.1297879273</v>
      </c>
    </row>
    <row r="25" ht="15.0" customHeight="1">
      <c r="B25" s="50">
        <f>'Macro-Economic_Demographic Data'!A15</f>
        <v>2006</v>
      </c>
      <c r="C25" s="51">
        <f>'Macro-Economic_Demographic Data'!P15</f>
        <v>1976.49395</v>
      </c>
      <c r="D25" s="34">
        <f t="shared" si="1"/>
        <v>7.589079822</v>
      </c>
      <c r="E25" s="53">
        <f>'Macro-Economic_Demographic Data'!Z15/100</f>
        <v>0.839</v>
      </c>
      <c r="F25" s="34">
        <f t="shared" si="2"/>
        <v>1.650806341</v>
      </c>
      <c r="G25" s="53">
        <f>'Macro-Economic_Demographic Data'!Y15/100</f>
        <v>0.235</v>
      </c>
      <c r="H25" s="34">
        <f t="shared" si="3"/>
        <v>-1.18029032</v>
      </c>
      <c r="J25" s="11"/>
      <c r="Q25" s="12"/>
      <c r="S25" s="47">
        <f t="shared" si="4"/>
        <v>2022</v>
      </c>
      <c r="T25" s="56">
        <f t="shared" si="5"/>
        <v>26.74826364</v>
      </c>
      <c r="U25" s="56">
        <f t="shared" si="6"/>
        <v>27</v>
      </c>
      <c r="V25" s="23">
        <f t="shared" si="7"/>
        <v>0.2517363573</v>
      </c>
    </row>
    <row r="26" ht="15.0" customHeight="1">
      <c r="B26" s="50">
        <f>'Macro-Economic_Demographic Data'!A16</f>
        <v>2007</v>
      </c>
      <c r="C26" s="51">
        <f>'Macro-Economic_Demographic Data'!P16</f>
        <v>2049.288023</v>
      </c>
      <c r="D26" s="34">
        <f t="shared" si="1"/>
        <v>7.625247706</v>
      </c>
      <c r="E26" s="53">
        <f>'Macro-Economic_Demographic Data'!Z16/100</f>
        <v>0.862</v>
      </c>
      <c r="F26" s="34">
        <f t="shared" si="2"/>
        <v>1.832001586</v>
      </c>
      <c r="G26" s="53">
        <f>'Macro-Economic_Demographic Data'!Y16/100</f>
        <v>0.253</v>
      </c>
      <c r="H26" s="34">
        <f t="shared" si="3"/>
        <v>-1.082675696</v>
      </c>
      <c r="J26" s="11"/>
      <c r="Q26" s="12"/>
      <c r="S26" s="47">
        <f t="shared" si="4"/>
        <v>2023</v>
      </c>
      <c r="T26" s="56">
        <f t="shared" si="5"/>
        <v>26.92183</v>
      </c>
      <c r="U26" s="56">
        <f t="shared" si="6"/>
        <v>32.9</v>
      </c>
      <c r="V26" s="23">
        <f t="shared" si="7"/>
        <v>5.978170004</v>
      </c>
    </row>
    <row r="27" ht="15.0" customHeight="1">
      <c r="B27" s="50">
        <f>'Macro-Economic_Demographic Data'!A17</f>
        <v>2008</v>
      </c>
      <c r="C27" s="51">
        <f>'Macro-Economic_Demographic Data'!P17</f>
        <v>2127.984295</v>
      </c>
      <c r="D27" s="34">
        <f t="shared" si="1"/>
        <v>7.66293047</v>
      </c>
      <c r="E27" s="53">
        <f>'Macro-Economic_Demographic Data'!Z17/100</f>
        <v>0.848</v>
      </c>
      <c r="F27" s="34">
        <f t="shared" si="2"/>
        <v>1.719000115</v>
      </c>
      <c r="G27" s="53">
        <f>'Macro-Economic_Demographic Data'!Y17/100</f>
        <v>0.256</v>
      </c>
      <c r="H27" s="34">
        <f t="shared" si="3"/>
        <v>-1.06686359</v>
      </c>
      <c r="J27" s="14"/>
      <c r="K27" s="15"/>
      <c r="L27" s="15"/>
      <c r="M27" s="15"/>
      <c r="N27" s="15"/>
      <c r="O27" s="15"/>
      <c r="P27" s="15"/>
      <c r="Q27" s="17"/>
      <c r="S27" s="47">
        <f t="shared" si="4"/>
        <v>2024</v>
      </c>
      <c r="T27" s="56">
        <f t="shared" si="5"/>
        <v>27.20646274</v>
      </c>
      <c r="U27" s="56">
        <f t="shared" si="6"/>
        <v>23.5</v>
      </c>
      <c r="V27" s="23">
        <f t="shared" si="7"/>
        <v>3.706462743</v>
      </c>
    </row>
    <row r="28" ht="15.0" customHeight="1">
      <c r="B28" s="50">
        <f>'Macro-Economic_Demographic Data'!A18</f>
        <v>2009</v>
      </c>
      <c r="C28" s="51">
        <f>'Macro-Economic_Demographic Data'!P18</f>
        <v>2235.716306</v>
      </c>
      <c r="D28" s="34">
        <f t="shared" si="1"/>
        <v>7.712316951</v>
      </c>
      <c r="E28" s="53">
        <f>'Macro-Economic_Demographic Data'!Z18/100</f>
        <v>0.841</v>
      </c>
      <c r="F28" s="34">
        <f t="shared" si="2"/>
        <v>1.665687458</v>
      </c>
      <c r="G28" s="53">
        <f>'Macro-Economic_Demographic Data'!Y18/100</f>
        <v>0.246</v>
      </c>
      <c r="H28" s="34">
        <f t="shared" si="3"/>
        <v>-1.120060832</v>
      </c>
      <c r="S28" s="67" t="s">
        <v>168</v>
      </c>
      <c r="T28" s="68">
        <f>AVERAGE(V18:V27)</f>
        <v>3.165192189</v>
      </c>
    </row>
    <row r="29" ht="15.0" customHeight="1">
      <c r="B29" s="50">
        <f>'Macro-Economic_Demographic Data'!A19</f>
        <v>2010</v>
      </c>
      <c r="C29" s="51">
        <f>'Macro-Economic_Demographic Data'!P19</f>
        <v>2348.423208</v>
      </c>
      <c r="D29" s="34">
        <f t="shared" si="1"/>
        <v>7.761499407</v>
      </c>
      <c r="E29" s="53">
        <f>'Macro-Economic_Demographic Data'!Z19/100</f>
        <v>0.798</v>
      </c>
      <c r="F29" s="34">
        <f t="shared" si="2"/>
        <v>1.3738409</v>
      </c>
      <c r="G29" s="53">
        <f>'Macro-Economic_Demographic Data'!Y19/100</f>
        <v>0.235</v>
      </c>
      <c r="H29" s="34">
        <f t="shared" si="3"/>
        <v>-1.18029032</v>
      </c>
    </row>
    <row r="30" ht="15.0" customHeight="1">
      <c r="B30" s="50">
        <f>'Macro-Economic_Demographic Data'!A20</f>
        <v>2011</v>
      </c>
      <c r="C30" s="51">
        <f>'Macro-Economic_Demographic Data'!P20</f>
        <v>2404.624855</v>
      </c>
      <c r="D30" s="34">
        <f t="shared" si="1"/>
        <v>7.785149185</v>
      </c>
      <c r="E30" s="53">
        <f>'Macro-Economic_Demographic Data'!Z20/100</f>
        <v>0.871</v>
      </c>
      <c r="F30" s="34">
        <f t="shared" si="2"/>
        <v>1.909829572</v>
      </c>
      <c r="G30" s="53">
        <f>'Macro-Economic_Demographic Data'!Y20/100</f>
        <v>0.31</v>
      </c>
      <c r="H30" s="34">
        <f t="shared" si="3"/>
        <v>-0.8001193001</v>
      </c>
      <c r="J30" s="21" t="s">
        <v>171</v>
      </c>
      <c r="S30" s="21" t="s">
        <v>172</v>
      </c>
      <c r="T30" s="69"/>
      <c r="U30" s="69"/>
    </row>
    <row r="31" ht="25.5" customHeight="1">
      <c r="B31" s="50">
        <f>'Macro-Economic_Demographic Data'!A21</f>
        <v>2012</v>
      </c>
      <c r="C31" s="51">
        <f>'Macro-Economic_Demographic Data'!P21</f>
        <v>2437.166697</v>
      </c>
      <c r="D31" s="34">
        <f t="shared" si="1"/>
        <v>7.798591454</v>
      </c>
      <c r="E31" s="53">
        <f>'Macro-Economic_Demographic Data'!Z21/100</f>
        <v>0.845</v>
      </c>
      <c r="F31" s="34">
        <f t="shared" si="2"/>
        <v>1.69591151</v>
      </c>
      <c r="G31" s="53">
        <f>'Macro-Economic_Demographic Data'!Y21/100</f>
        <v>0.27</v>
      </c>
      <c r="H31" s="34">
        <f t="shared" si="3"/>
        <v>-0.9946225751</v>
      </c>
      <c r="J31" s="70" t="s">
        <v>174</v>
      </c>
      <c r="S31" s="22" t="s">
        <v>175</v>
      </c>
      <c r="T31" s="38">
        <f>STEYX(H14:H43,D14:D43)/SQRT(DEVSQ(D14:D43))</f>
        <v>0.1469810882</v>
      </c>
    </row>
    <row r="32" ht="25.5" customHeight="1">
      <c r="B32" s="50">
        <f>'Macro-Economic_Demographic Data'!A22</f>
        <v>2013</v>
      </c>
      <c r="C32" s="51">
        <f>'Macro-Economic_Demographic Data'!P22</f>
        <v>2529.230937</v>
      </c>
      <c r="D32" s="34">
        <f t="shared" si="1"/>
        <v>7.835670558</v>
      </c>
      <c r="E32" s="53">
        <f>'Macro-Economic_Demographic Data'!Z22/100</f>
        <v>0.836</v>
      </c>
      <c r="F32" s="34">
        <f t="shared" si="2"/>
        <v>1.628762185</v>
      </c>
      <c r="G32" s="53">
        <f>'Macro-Economic_Demographic Data'!Y22/100</f>
        <v>0.316</v>
      </c>
      <c r="H32" s="34">
        <f t="shared" si="3"/>
        <v>-0.772215704</v>
      </c>
      <c r="J32" s="70" t="s">
        <v>176</v>
      </c>
      <c r="S32" s="22" t="s">
        <v>177</v>
      </c>
      <c r="T32" s="71">
        <f>(_xlfn.T.INV.2T(0.05, COUNT(H14:H43)-2))</f>
        <v>2.048407142</v>
      </c>
    </row>
    <row r="33" ht="25.5" customHeight="1">
      <c r="B33" s="50">
        <f>'Macro-Economic_Demographic Data'!A23</f>
        <v>2014</v>
      </c>
      <c r="C33" s="51">
        <f>'Macro-Economic_Demographic Data'!P23</f>
        <v>2617.714578</v>
      </c>
      <c r="D33" s="34">
        <f t="shared" si="1"/>
        <v>7.870056918</v>
      </c>
      <c r="E33" s="53">
        <f>'Macro-Economic_Demographic Data'!Z23/100</f>
        <v>0.847</v>
      </c>
      <c r="F33" s="34">
        <f t="shared" si="2"/>
        <v>1.711262773</v>
      </c>
      <c r="G33" s="53">
        <f>'Macro-Economic_Demographic Data'!Y23/100</f>
        <v>0.271</v>
      </c>
      <c r="H33" s="34">
        <f t="shared" si="3"/>
        <v>-0.9895549111</v>
      </c>
      <c r="J33" s="70"/>
      <c r="S33" s="22" t="s">
        <v>180</v>
      </c>
      <c r="T33" s="38">
        <f>L17-T32*T31</f>
        <v>0.435522752</v>
      </c>
    </row>
    <row r="34" ht="25.5" customHeight="1">
      <c r="B34" s="50">
        <f>'Macro-Economic_Demographic Data'!A24</f>
        <v>2015</v>
      </c>
      <c r="C34" s="51">
        <f>'Macro-Economic_Demographic Data'!P24</f>
        <v>2618.047619</v>
      </c>
      <c r="D34" s="34">
        <f t="shared" si="1"/>
        <v>7.870184136</v>
      </c>
      <c r="E34" s="53">
        <f>'Macro-Economic_Demographic Data'!Z24/100</f>
        <v>0.815</v>
      </c>
      <c r="F34" s="34">
        <f t="shared" si="2"/>
        <v>1.482832288</v>
      </c>
      <c r="G34" s="53">
        <f>'Macro-Economic_Demographic Data'!Y24/100</f>
        <v>0.259</v>
      </c>
      <c r="H34" s="34">
        <f t="shared" si="3"/>
        <v>-1.051172564</v>
      </c>
      <c r="J34" s="70"/>
      <c r="S34" s="22" t="s">
        <v>182</v>
      </c>
      <c r="T34" s="38">
        <f>L17</f>
        <v>0.7365998629</v>
      </c>
    </row>
    <row r="35" ht="15.0" customHeight="1">
      <c r="B35" s="50">
        <f>'Macro-Economic_Demographic Data'!A25</f>
        <v>2016</v>
      </c>
      <c r="C35" s="51">
        <f>'Macro-Economic_Demographic Data'!P25</f>
        <v>2512.90937</v>
      </c>
      <c r="D35" s="34">
        <f t="shared" si="1"/>
        <v>7.829196472</v>
      </c>
      <c r="E35" s="53">
        <f>'Macro-Economic_Demographic Data'!Z25/100</f>
        <v>0.86</v>
      </c>
      <c r="F35" s="34">
        <f t="shared" si="2"/>
        <v>1.815289967</v>
      </c>
      <c r="G35" s="53">
        <f>'Macro-Economic_Demographic Data'!Y25/100</f>
        <v>0.34</v>
      </c>
      <c r="H35" s="34">
        <f t="shared" si="3"/>
        <v>-0.6632942174</v>
      </c>
      <c r="J35" s="69"/>
      <c r="K35" s="69"/>
      <c r="L35" s="69"/>
      <c r="M35" s="69"/>
      <c r="N35" s="69"/>
      <c r="O35" s="69"/>
      <c r="S35" s="22" t="s">
        <v>183</v>
      </c>
      <c r="T35" s="38">
        <f>L17+T32*T31</f>
        <v>1.037676974</v>
      </c>
    </row>
    <row r="36" ht="15.0" customHeight="1">
      <c r="B36" s="50">
        <f>'Macro-Economic_Demographic Data'!A26</f>
        <v>2017</v>
      </c>
      <c r="C36" s="51">
        <f>'Macro-Economic_Demographic Data'!P26</f>
        <v>2471.236705</v>
      </c>
      <c r="D36" s="34">
        <f t="shared" si="1"/>
        <v>7.812473994</v>
      </c>
      <c r="E36" s="53">
        <f>'Macro-Economic_Demographic Data'!Z26/100</f>
        <v>0.868</v>
      </c>
      <c r="F36" s="34">
        <f t="shared" si="2"/>
        <v>1.883389792</v>
      </c>
      <c r="G36" s="53">
        <f>'Macro-Economic_Demographic Data'!Y26/100</f>
        <v>0.226</v>
      </c>
      <c r="H36" s="34">
        <f t="shared" si="3"/>
        <v>-1.231036874</v>
      </c>
      <c r="J36" s="69"/>
      <c r="K36" s="69"/>
      <c r="L36" s="69"/>
      <c r="M36" s="69"/>
      <c r="N36" s="69"/>
      <c r="O36" s="69"/>
      <c r="S36" s="22" t="s">
        <v>185</v>
      </c>
      <c r="T36" s="56">
        <f>100/(1+EXP(-((AVERAGE(H14:H43)-T33*AVERAGE(D14:D43))+T33*LN('Macro-Economic_Demographic Data'!P69))))</f>
        <v>37.37940172</v>
      </c>
    </row>
    <row r="37" ht="15.0" customHeight="1">
      <c r="B37" s="50">
        <f>'Macro-Economic_Demographic Data'!A27</f>
        <v>2018</v>
      </c>
      <c r="C37" s="51">
        <f>'Macro-Economic_Demographic Data'!P27</f>
        <v>2459.279099</v>
      </c>
      <c r="D37" s="34">
        <f t="shared" si="1"/>
        <v>7.807623537</v>
      </c>
      <c r="E37" s="53">
        <f>'Macro-Economic_Demographic Data'!Z27/100</f>
        <v>0.817</v>
      </c>
      <c r="F37" s="34">
        <f t="shared" si="2"/>
        <v>1.496152942</v>
      </c>
      <c r="G37" s="53">
        <f>'Macro-Economic_Demographic Data'!Y27/100</f>
        <v>0.31</v>
      </c>
      <c r="H37" s="34">
        <f t="shared" si="3"/>
        <v>-0.8001193001</v>
      </c>
      <c r="J37" s="21"/>
      <c r="K37" s="69"/>
      <c r="L37" s="69"/>
      <c r="M37" s="69"/>
      <c r="N37" s="69"/>
      <c r="O37" s="69"/>
      <c r="S37" s="22" t="s">
        <v>188</v>
      </c>
      <c r="T37" s="65">
        <f>100/(1+EXP(-((AVERAGE(H14:H43)-T34*AVERAGE(D14:D43))+T34*LN('Macro-Economic_Demographic Data'!P69))))</f>
        <v>47.28085368</v>
      </c>
    </row>
    <row r="38" ht="15.0" customHeight="1">
      <c r="B38" s="50">
        <f>'Macro-Economic_Demographic Data'!A28</f>
        <v>2019</v>
      </c>
      <c r="C38" s="51">
        <f>'Macro-Economic_Demographic Data'!P28</f>
        <v>2457.996522</v>
      </c>
      <c r="D38" s="34">
        <f t="shared" si="1"/>
        <v>7.807101875</v>
      </c>
      <c r="E38" s="53">
        <f>'Macro-Economic_Demographic Data'!Z28/100</f>
        <v>0.839</v>
      </c>
      <c r="F38" s="34">
        <f t="shared" si="2"/>
        <v>1.650806341</v>
      </c>
      <c r="G38" s="53">
        <f>'Macro-Economic_Demographic Data'!Y28/100</f>
        <v>0.255</v>
      </c>
      <c r="H38" s="34">
        <f t="shared" si="3"/>
        <v>-1.072120673</v>
      </c>
      <c r="J38" s="22"/>
      <c r="P38" s="72"/>
      <c r="S38" s="22" t="s">
        <v>191</v>
      </c>
      <c r="T38" s="65">
        <f>100/(1+EXP(-((AVERAGE(H14:H43)-T35*AVERAGE(D14:D43))+T35*LN('Macro-Economic_Demographic Data'!P69))))</f>
        <v>57.40092641</v>
      </c>
    </row>
    <row r="39" ht="15.0" customHeight="1">
      <c r="B39" s="50">
        <f>'Macro-Economic_Demographic Data'!A29</f>
        <v>2020</v>
      </c>
      <c r="C39" s="51">
        <f>'Macro-Economic_Demographic Data'!P29</f>
        <v>2252.425088</v>
      </c>
      <c r="D39" s="34">
        <f t="shared" si="1"/>
        <v>7.719762732</v>
      </c>
      <c r="E39" s="53">
        <f>'Macro-Economic_Demographic Data'!Z29/100</f>
        <v>0.839</v>
      </c>
      <c r="F39" s="34">
        <f t="shared" si="2"/>
        <v>1.650806341</v>
      </c>
      <c r="G39" s="53">
        <f>'Macro-Economic_Demographic Data'!Y29/100</f>
        <v>0.246</v>
      </c>
      <c r="H39" s="34">
        <f t="shared" si="3"/>
        <v>-1.120060832</v>
      </c>
      <c r="J39" s="22"/>
      <c r="P39" s="72"/>
    </row>
    <row r="40" ht="15.0" customHeight="1">
      <c r="B40" s="50">
        <f>'Macro-Economic_Demographic Data'!A30</f>
        <v>2021</v>
      </c>
      <c r="C40" s="51">
        <f>'Macro-Economic_Demographic Data'!P30</f>
        <v>2229.906627</v>
      </c>
      <c r="D40" s="34">
        <f t="shared" si="1"/>
        <v>7.709714992</v>
      </c>
      <c r="E40" s="53">
        <f>'Macro-Economic_Demographic Data'!Z30/100</f>
        <v>0.892</v>
      </c>
      <c r="F40" s="34">
        <f t="shared" si="2"/>
        <v>2.111334905</v>
      </c>
      <c r="G40" s="53">
        <f>'Macro-Economic_Demographic Data'!Y30/100</f>
        <v>0.263</v>
      </c>
      <c r="H40" s="34">
        <f t="shared" si="3"/>
        <v>-1.03043386</v>
      </c>
      <c r="J40" s="22"/>
      <c r="P40" s="72"/>
      <c r="S40" s="5" t="s">
        <v>194</v>
      </c>
      <c r="T40" s="8"/>
      <c r="U40" s="8"/>
      <c r="V40" s="8"/>
      <c r="W40" s="8"/>
      <c r="X40" s="8"/>
      <c r="Y40" s="8"/>
      <c r="Z40" s="8"/>
      <c r="AA40" s="10"/>
    </row>
    <row r="41" ht="15.0" customHeight="1">
      <c r="B41" s="50">
        <f>'Macro-Economic_Demographic Data'!A31</f>
        <v>2022</v>
      </c>
      <c r="C41" s="51">
        <f>'Macro-Economic_Demographic Data'!P31</f>
        <v>2278.219971</v>
      </c>
      <c r="D41" s="34">
        <f t="shared" si="1"/>
        <v>7.731149702</v>
      </c>
      <c r="E41" s="53">
        <f>'Macro-Economic_Demographic Data'!Z31/100</f>
        <v>0.89</v>
      </c>
      <c r="F41" s="34">
        <f t="shared" si="2"/>
        <v>2.090741097</v>
      </c>
      <c r="G41" s="53">
        <f>'Macro-Economic_Demographic Data'!Y31/100</f>
        <v>0.27</v>
      </c>
      <c r="H41" s="34">
        <f t="shared" si="3"/>
        <v>-0.9946225751</v>
      </c>
      <c r="J41" s="22"/>
      <c r="P41" s="72"/>
      <c r="S41" s="11"/>
      <c r="AA41" s="12"/>
    </row>
    <row r="42" ht="15.0" customHeight="1">
      <c r="B42" s="50">
        <f>'Macro-Economic_Demographic Data'!A32</f>
        <v>2023</v>
      </c>
      <c r="C42" s="51">
        <f>'Macro-Economic_Demographic Data'!P32</f>
        <v>2304.832239</v>
      </c>
      <c r="D42" s="34">
        <f t="shared" si="1"/>
        <v>7.742763171</v>
      </c>
      <c r="E42" s="53">
        <f>'Macro-Economic_Demographic Data'!Z32/100</f>
        <v>0.85</v>
      </c>
      <c r="F42" s="34">
        <f t="shared" si="2"/>
        <v>1.734601055</v>
      </c>
      <c r="G42" s="53">
        <f>'Macro-Economic_Demographic Data'!Y32/100</f>
        <v>0.329</v>
      </c>
      <c r="H42" s="34">
        <f t="shared" si="3"/>
        <v>-0.7127113862</v>
      </c>
      <c r="J42" s="22"/>
      <c r="P42" s="72"/>
      <c r="S42" s="11"/>
      <c r="AA42" s="12"/>
    </row>
    <row r="43" ht="15.0" customHeight="1">
      <c r="B43" s="50">
        <f>'Macro-Economic_Demographic Data'!A33</f>
        <v>2024</v>
      </c>
      <c r="C43" s="51">
        <f>'Macro-Economic_Demographic Data'!P33</f>
        <v>2348.909289</v>
      </c>
      <c r="D43" s="34">
        <f t="shared" si="1"/>
        <v>7.761706367</v>
      </c>
      <c r="E43" s="53">
        <f>'Macro-Economic_Demographic Data'!Z33/100</f>
        <v>0.855</v>
      </c>
      <c r="F43" s="34">
        <f t="shared" si="2"/>
        <v>1.774367727</v>
      </c>
      <c r="G43" s="53">
        <f>'Macro-Economic_Demographic Data'!Y33/100</f>
        <v>0.235</v>
      </c>
      <c r="H43" s="34">
        <f t="shared" si="3"/>
        <v>-1.18029032</v>
      </c>
      <c r="J43" s="22"/>
      <c r="P43" s="72"/>
      <c r="S43" s="11"/>
      <c r="AA43" s="12"/>
    </row>
    <row r="44" ht="15.0" customHeight="1">
      <c r="J44" s="22"/>
      <c r="P44" s="72"/>
      <c r="S44" s="11"/>
      <c r="AA44" s="12"/>
    </row>
    <row r="45" ht="15.0" customHeight="1">
      <c r="S45" s="14"/>
      <c r="T45" s="15"/>
      <c r="U45" s="15"/>
      <c r="V45" s="15"/>
      <c r="W45" s="15"/>
      <c r="X45" s="15"/>
      <c r="Y45" s="15"/>
      <c r="Z45" s="15"/>
      <c r="AA45" s="17"/>
    </row>
    <row r="46" ht="15.0" customHeight="1">
      <c r="B46" s="73" t="s">
        <v>198</v>
      </c>
      <c r="S46" s="74"/>
      <c r="T46" s="74"/>
      <c r="U46" s="74"/>
      <c r="V46" s="74"/>
      <c r="W46" s="74"/>
      <c r="X46" s="74"/>
      <c r="Y46" s="74"/>
      <c r="Z46" s="74"/>
      <c r="AA46" s="74"/>
      <c r="AB46" s="69"/>
    </row>
    <row r="47" ht="54.0" customHeight="1">
      <c r="A47" s="75"/>
      <c r="B47" s="18" t="s">
        <v>4</v>
      </c>
      <c r="C47" s="18" t="s">
        <v>85</v>
      </c>
      <c r="D47" s="18" t="s">
        <v>200</v>
      </c>
      <c r="E47" s="18" t="s">
        <v>201</v>
      </c>
      <c r="F47" s="18" t="s">
        <v>202</v>
      </c>
      <c r="G47" s="18" t="s">
        <v>203</v>
      </c>
      <c r="J47" s="5" t="s">
        <v>204</v>
      </c>
      <c r="K47" s="8"/>
      <c r="L47" s="8"/>
      <c r="M47" s="8"/>
      <c r="N47" s="8"/>
      <c r="O47" s="8"/>
      <c r="P47" s="8"/>
      <c r="Q47" s="10"/>
      <c r="S47" s="74"/>
      <c r="T47" s="74"/>
      <c r="U47" s="74"/>
      <c r="V47" s="74"/>
      <c r="W47" s="74"/>
      <c r="X47" s="74"/>
      <c r="Y47" s="74"/>
      <c r="Z47" s="74"/>
      <c r="AA47" s="74"/>
      <c r="AB47" s="69"/>
    </row>
    <row r="48" ht="15.0" customHeight="1">
      <c r="B48" s="50">
        <f>'Macro-Economic_Demographic Data'!A34</f>
        <v>2025</v>
      </c>
      <c r="C48" s="51">
        <f>'Macro-Economic_Demographic Data'!P34</f>
        <v>2393.121641</v>
      </c>
      <c r="D48" s="53">
        <f>'Macro-Economic_Demographic Data'!D34/100</f>
        <v>0.6377541805</v>
      </c>
      <c r="E48" s="53">
        <f>'Macro-Economic_Demographic Data'!Z34/100</f>
        <v>0.8763989351</v>
      </c>
      <c r="F48" s="53">
        <f>'Macro-Economic_Demographic Data'!Y34/100</f>
        <v>0.2763592113</v>
      </c>
      <c r="G48" s="53">
        <f>'Macro-Economic_Demographic Data'!X34/100</f>
        <v>0.6590370536</v>
      </c>
      <c r="J48" s="11"/>
      <c r="Q48" s="12"/>
      <c r="S48" s="74"/>
      <c r="T48" s="74"/>
      <c r="U48" s="74"/>
      <c r="V48" s="74"/>
      <c r="W48" s="74"/>
      <c r="X48" s="74"/>
      <c r="Y48" s="74"/>
      <c r="Z48" s="74"/>
      <c r="AA48" s="74"/>
      <c r="AB48" s="69"/>
    </row>
    <row r="49" ht="15.0" customHeight="1">
      <c r="B49" s="50">
        <f>'Macro-Economic_Demographic Data'!A35</f>
        <v>2026</v>
      </c>
      <c r="C49" s="51">
        <f>'Macro-Economic_Demographic Data'!P35</f>
        <v>2461.678389</v>
      </c>
      <c r="D49" s="53">
        <f>'Macro-Economic_Demographic Data'!D35/100</f>
        <v>0.6457420704</v>
      </c>
      <c r="E49" s="53">
        <f>'Macro-Economic_Demographic Data'!Z35/100</f>
        <v>0.8950275662</v>
      </c>
      <c r="F49" s="53">
        <f>'Macro-Economic_Demographic Data'!Y35/100</f>
        <v>0.3219342554</v>
      </c>
      <c r="G49" s="53">
        <f>'Macro-Economic_Demographic Data'!X35/100</f>
        <v>0.6920047165</v>
      </c>
      <c r="J49" s="11"/>
      <c r="Q49" s="12"/>
    </row>
    <row r="50" ht="15.0" customHeight="1">
      <c r="B50" s="50">
        <f>'Macro-Economic_Demographic Data'!A36</f>
        <v>2027</v>
      </c>
      <c r="C50" s="51">
        <f>'Macro-Economic_Demographic Data'!P36</f>
        <v>2532.747812</v>
      </c>
      <c r="D50" s="53">
        <f>'Macro-Economic_Demographic Data'!D36/100</f>
        <v>0.653719138</v>
      </c>
      <c r="E50" s="53">
        <f>'Macro-Economic_Demographic Data'!Z36/100</f>
        <v>0.9111332618</v>
      </c>
      <c r="F50" s="53">
        <f>'Macro-Economic_Demographic Data'!Y36/100</f>
        <v>0.3711701346</v>
      </c>
      <c r="G50" s="53">
        <f>'Macro-Economic_Demographic Data'!X36/100</f>
        <v>0.7241543647</v>
      </c>
      <c r="J50" s="11"/>
      <c r="Q50" s="12"/>
    </row>
    <row r="51" ht="15.0" customHeight="1">
      <c r="B51" s="50">
        <f>'Macro-Economic_Demographic Data'!A37</f>
        <v>2028</v>
      </c>
      <c r="C51" s="51">
        <f>'Macro-Economic_Demographic Data'!P37</f>
        <v>2606.627054</v>
      </c>
      <c r="D51" s="53">
        <f>'Macro-Economic_Demographic Data'!D37/100</f>
        <v>0.6616851759</v>
      </c>
      <c r="E51" s="53">
        <f>'Macro-Economic_Demographic Data'!Z37/100</f>
        <v>0.9249750298</v>
      </c>
      <c r="F51" s="53">
        <f>'Macro-Economic_Demographic Data'!Y37/100</f>
        <v>0.4232359369</v>
      </c>
      <c r="G51" s="53">
        <f>'Macro-Economic_Demographic Data'!X37/100</f>
        <v>0.7552292569</v>
      </c>
      <c r="J51" s="11"/>
      <c r="Q51" s="12"/>
      <c r="S51" s="21" t="s">
        <v>210</v>
      </c>
      <c r="T51" s="69"/>
      <c r="U51" s="69"/>
      <c r="V51" s="69"/>
      <c r="W51" s="69"/>
      <c r="X51" s="69"/>
      <c r="Y51" s="69"/>
    </row>
    <row r="52" ht="15.0" customHeight="1">
      <c r="B52" s="50">
        <f>'Macro-Economic_Demographic Data'!A38</f>
        <v>2029</v>
      </c>
      <c r="C52" s="51">
        <f>'Macro-Economic_Demographic Data'!P38</f>
        <v>2683.39803</v>
      </c>
      <c r="D52" s="53">
        <f>'Macro-Economic_Demographic Data'!D38/100</f>
        <v>0.6696399766</v>
      </c>
      <c r="E52" s="53">
        <f>'Macro-Economic_Demographic Data'!Z38/100</f>
        <v>0.936810345</v>
      </c>
      <c r="F52" s="53">
        <f>'Macro-Economic_Demographic Data'!Y38/100</f>
        <v>0.4770644127</v>
      </c>
      <c r="G52" s="53">
        <f>'Macro-Economic_Demographic Data'!X38/100</f>
        <v>0.7849286681</v>
      </c>
      <c r="J52" s="14"/>
      <c r="K52" s="15"/>
      <c r="L52" s="15"/>
      <c r="M52" s="15"/>
      <c r="N52" s="15"/>
      <c r="O52" s="15"/>
      <c r="P52" s="15"/>
      <c r="Q52" s="17"/>
      <c r="S52" s="76" t="s">
        <v>212</v>
      </c>
      <c r="T52" s="77" t="s">
        <v>213</v>
      </c>
      <c r="U52" s="76" t="s">
        <v>4</v>
      </c>
      <c r="V52" s="76" t="s">
        <v>214</v>
      </c>
      <c r="W52" s="76" t="s">
        <v>4</v>
      </c>
      <c r="X52" s="76" t="s">
        <v>215</v>
      </c>
      <c r="Y52" s="69"/>
    </row>
    <row r="53" ht="15.0" customHeight="1">
      <c r="B53" s="50">
        <f>'Macro-Economic_Demographic Data'!A39</f>
        <v>2030</v>
      </c>
      <c r="C53" s="51">
        <f>'Macro-Economic_Demographic Data'!P39</f>
        <v>2763.074165</v>
      </c>
      <c r="D53" s="53">
        <f>'Macro-Economic_Demographic Data'!D39/100</f>
        <v>0.6775833328</v>
      </c>
      <c r="E53" s="53">
        <f>'Macro-Economic_Demographic Data'!Z39/100</f>
        <v>0.9468858291</v>
      </c>
      <c r="F53" s="53">
        <f>'Macro-Economic_Demographic Data'!Y39/100</f>
        <v>0.5314309831</v>
      </c>
      <c r="G53" s="53">
        <f>'Macro-Economic_Demographic Data'!X39/100</f>
        <v>0.8129362622</v>
      </c>
      <c r="S53" s="22" t="s">
        <v>217</v>
      </c>
      <c r="T53" s="65">
        <v>68.0</v>
      </c>
      <c r="U53" s="78">
        <v>2014.0</v>
      </c>
      <c r="V53" s="56">
        <v>98.0</v>
      </c>
      <c r="W53" s="47">
        <v>2022.0</v>
      </c>
      <c r="X53" s="34">
        <f t="shared" ref="X53:X58" si="8">(LN(V53/100/(1-V53/100))-LN(T53/100/(1-T53/100)))/(W53-U53)</f>
        <v>0.392256062</v>
      </c>
      <c r="Y53" s="79"/>
    </row>
    <row r="54" ht="15.0" customHeight="1">
      <c r="B54" s="50">
        <f>'Macro-Economic_Demographic Data'!A40</f>
        <v>2031</v>
      </c>
      <c r="C54" s="51">
        <f>'Macro-Economic_Demographic Data'!P40</f>
        <v>2846.130313</v>
      </c>
      <c r="D54" s="53">
        <f>'Macro-Economic_Demographic Data'!D40/100</f>
        <v>0.6855150369</v>
      </c>
      <c r="E54" s="53">
        <f>'Macro-Economic_Demographic Data'!Z40/100</f>
        <v>0.9554312243</v>
      </c>
      <c r="F54" s="53">
        <f>'Macro-Economic_Demographic Data'!Y40/100</f>
        <v>0.5850614966</v>
      </c>
      <c r="G54" s="53">
        <f>'Macro-Economic_Demographic Data'!X40/100</f>
        <v>0.8389555142</v>
      </c>
      <c r="S54" s="22" t="s">
        <v>219</v>
      </c>
      <c r="T54" s="65">
        <v>88.0</v>
      </c>
      <c r="U54" s="78">
        <v>2000.0</v>
      </c>
      <c r="V54" s="56">
        <v>99.8</v>
      </c>
      <c r="W54" s="47">
        <v>2019.0</v>
      </c>
      <c r="X54" s="34">
        <f t="shared" si="8"/>
        <v>0.2221145227</v>
      </c>
      <c r="Y54" s="79"/>
    </row>
    <row r="55" ht="15.0" customHeight="1">
      <c r="B55" s="50">
        <f>'Macro-Economic_Demographic Data'!A41</f>
        <v>2032</v>
      </c>
      <c r="C55" s="51">
        <f>'Macro-Economic_Demographic Data'!P41</f>
        <v>2932.535947</v>
      </c>
      <c r="D55" s="53">
        <f>'Macro-Economic_Demographic Data'!D41/100</f>
        <v>0.6934348817</v>
      </c>
      <c r="E55" s="53">
        <f>'Macro-Economic_Demographic Data'!Z41/100</f>
        <v>0.9626559963</v>
      </c>
      <c r="F55" s="53">
        <f>'Macro-Economic_Demographic Data'!Y41/100</f>
        <v>0.6367494301</v>
      </c>
      <c r="G55" s="53">
        <f>'Macro-Economic_Demographic Data'!X41/100</f>
        <v>0.8627444113</v>
      </c>
      <c r="S55" s="22" t="s">
        <v>221</v>
      </c>
      <c r="T55" s="56">
        <v>94.0</v>
      </c>
      <c r="U55" s="47">
        <v>2005.0</v>
      </c>
      <c r="V55" s="56">
        <v>99.6</v>
      </c>
      <c r="W55" s="47">
        <v>2020.0</v>
      </c>
      <c r="X55" s="34">
        <f t="shared" si="8"/>
        <v>0.1843945056</v>
      </c>
      <c r="Y55" s="79"/>
    </row>
    <row r="56" ht="15.0" customHeight="1">
      <c r="B56" s="50">
        <f>'Macro-Economic_Demographic Data'!A42</f>
        <v>2033</v>
      </c>
      <c r="C56" s="51">
        <f>'Macro-Economic_Demographic Data'!P42</f>
        <v>3022.335886</v>
      </c>
      <c r="D56" s="53">
        <f>'Macro-Economic_Demographic Data'!D42/100</f>
        <v>0.7013426596</v>
      </c>
      <c r="E56" s="53">
        <f>'Macro-Economic_Demographic Data'!Z42/100</f>
        <v>0.9687479132</v>
      </c>
      <c r="F56" s="53">
        <f>'Macro-Economic_Demographic Data'!Y42/100</f>
        <v>0.6854602511</v>
      </c>
      <c r="G56" s="53">
        <f>'Macro-Economic_Demographic Data'!X42/100</f>
        <v>0.8841419735</v>
      </c>
      <c r="S56" s="22" t="s">
        <v>222</v>
      </c>
      <c r="T56" s="56">
        <v>14.0</v>
      </c>
      <c r="U56" s="47">
        <v>1994.0</v>
      </c>
      <c r="V56" s="56">
        <v>99.0</v>
      </c>
      <c r="W56" s="47">
        <v>2014.0</v>
      </c>
      <c r="X56" s="34">
        <f t="shared" si="8"/>
        <v>0.3205204908</v>
      </c>
      <c r="Y56" s="79"/>
    </row>
    <row r="57" ht="15.0" customHeight="1">
      <c r="B57" s="50">
        <f>'Macro-Economic_Demographic Data'!A43</f>
        <v>2034</v>
      </c>
      <c r="C57" s="51">
        <f>'Macro-Economic_Demographic Data'!P43</f>
        <v>3116.038827</v>
      </c>
      <c r="D57" s="53">
        <f>'Macro-Economic_Demographic Data'!D43/100</f>
        <v>0.7092381634</v>
      </c>
      <c r="E57" s="53">
        <f>'Macro-Economic_Demographic Data'!Z43/100</f>
        <v>0.973873029</v>
      </c>
      <c r="F57" s="53">
        <f>'Macro-Economic_Demographic Data'!Y43/100</f>
        <v>0.7304046894</v>
      </c>
      <c r="G57" s="53">
        <f>'Macro-Economic_Demographic Data'!X43/100</f>
        <v>0.9030817274</v>
      </c>
      <c r="S57" s="22" t="s">
        <v>223</v>
      </c>
      <c r="T57" s="56">
        <v>18.0</v>
      </c>
      <c r="U57" s="47">
        <v>1995.0</v>
      </c>
      <c r="V57" s="56">
        <v>99.6</v>
      </c>
      <c r="W57" s="47">
        <v>2018.0</v>
      </c>
      <c r="X57" s="34">
        <f t="shared" si="8"/>
        <v>0.3058174081</v>
      </c>
      <c r="Y57" s="79"/>
    </row>
    <row r="58" ht="15.0" customHeight="1">
      <c r="B58" s="50">
        <f>'Macro-Economic_Demographic Data'!A44</f>
        <v>2035</v>
      </c>
      <c r="C58" s="51">
        <f>'Macro-Economic_Demographic Data'!P44</f>
        <v>3213.700184</v>
      </c>
      <c r="D58" s="53">
        <f>'Macro-Economic_Demographic Data'!D44/100</f>
        <v>0.7171211855</v>
      </c>
      <c r="E58" s="53">
        <f>'Macro-Economic_Demographic Data'!Z44/100</f>
        <v>0.9781765968</v>
      </c>
      <c r="F58" s="53">
        <f>'Macro-Economic_Demographic Data'!Y44/100</f>
        <v>0.7710718698</v>
      </c>
      <c r="G58" s="53">
        <f>'Macro-Economic_Demographic Data'!X44/100</f>
        <v>0.9195910571</v>
      </c>
      <c r="S58" s="22" t="s">
        <v>225</v>
      </c>
      <c r="T58" s="56">
        <v>30.0</v>
      </c>
      <c r="U58" s="78">
        <v>1993.0</v>
      </c>
      <c r="V58" s="56">
        <v>99.0</v>
      </c>
      <c r="W58" s="47">
        <v>2018.0</v>
      </c>
      <c r="X58" s="34">
        <f t="shared" si="8"/>
        <v>0.2176967084</v>
      </c>
      <c r="Y58" s="79"/>
    </row>
    <row r="59" ht="15.0" customHeight="1">
      <c r="B59" s="50">
        <f>'Macro-Economic_Demographic Data'!A45</f>
        <v>2036</v>
      </c>
      <c r="C59" s="51">
        <f>'Macro-Economic_Demographic Data'!P45</f>
        <v>3315.557398</v>
      </c>
      <c r="D59" s="53">
        <f>'Macro-Economic_Demographic Data'!D45/100</f>
        <v>0.7249915187</v>
      </c>
      <c r="E59" s="53">
        <f>'Macro-Economic_Demographic Data'!Z45/100</f>
        <v>0.9817845508</v>
      </c>
      <c r="F59" s="53">
        <f>'Macro-Economic_Demographic Data'!Y45/100</f>
        <v>0.8072236691</v>
      </c>
      <c r="G59" s="53">
        <f>'Macro-Economic_Demographic Data'!X45/100</f>
        <v>0.9337788278</v>
      </c>
      <c r="S59" s="22"/>
      <c r="T59" s="56"/>
      <c r="U59" s="69"/>
      <c r="V59" s="69"/>
      <c r="W59" s="69"/>
      <c r="X59" s="69"/>
      <c r="Y59" s="69"/>
    </row>
    <row r="60" ht="15.0" customHeight="1">
      <c r="B60" s="50">
        <f>'Macro-Economic_Demographic Data'!A46</f>
        <v>2037</v>
      </c>
      <c r="C60" s="51">
        <f>'Macro-Economic_Demographic Data'!P46</f>
        <v>3421.819126</v>
      </c>
      <c r="D60" s="53">
        <f>'Macro-Economic_Demographic Data'!D46/100</f>
        <v>0.7328489553</v>
      </c>
      <c r="E60" s="53">
        <f>'Macro-Economic_Demographic Data'!Z46/100</f>
        <v>0.9848052854</v>
      </c>
      <c r="F60" s="53">
        <f>'Macro-Economic_Demographic Data'!Y46/100</f>
        <v>0.8388595424</v>
      </c>
      <c r="G60" s="53">
        <f>'Macro-Economic_Demographic Data'!X46/100</f>
        <v>0.9458157277</v>
      </c>
      <c r="S60" s="22" t="s">
        <v>227</v>
      </c>
      <c r="T60" s="54">
        <f>MIN(X53:X55)</f>
        <v>0.1843945056</v>
      </c>
      <c r="U60" s="69"/>
      <c r="V60" s="69"/>
      <c r="W60" s="69"/>
      <c r="X60" s="69"/>
      <c r="Y60" s="69"/>
    </row>
    <row r="61" ht="15.0" customHeight="1">
      <c r="B61" s="50">
        <f>'Macro-Economic_Demographic Data'!A47</f>
        <v>2038</v>
      </c>
      <c r="C61" s="51">
        <f>'Macro-Economic_Demographic Data'!P47</f>
        <v>3532.846142</v>
      </c>
      <c r="D61" s="53">
        <f>'Macro-Economic_Demographic Data'!D47/100</f>
        <v>0.7406932882</v>
      </c>
      <c r="E61" s="53">
        <f>'Macro-Economic_Demographic Data'!Z47/100</f>
        <v>0.9873315444</v>
      </c>
      <c r="F61" s="53">
        <f>'Macro-Economic_Demographic Data'!Y47/100</f>
        <v>0.8661645218</v>
      </c>
      <c r="G61" s="53">
        <f>'Macro-Economic_Demographic Data'!X47/100</f>
        <v>0.9559121222</v>
      </c>
      <c r="S61" s="22" t="s">
        <v>229</v>
      </c>
      <c r="T61" s="54">
        <f>MIN(X56:X58)</f>
        <v>0.2176967084</v>
      </c>
      <c r="U61" s="69"/>
      <c r="V61" s="69"/>
      <c r="W61" s="69"/>
      <c r="X61" s="69"/>
      <c r="Y61" s="69"/>
    </row>
    <row r="62" ht="15.0" customHeight="1">
      <c r="B62" s="50">
        <f>'Macro-Economic_Demographic Data'!A48</f>
        <v>2039</v>
      </c>
      <c r="C62" s="51">
        <f>'Macro-Economic_Demographic Data'!P48</f>
        <v>3648.754028</v>
      </c>
      <c r="D62" s="53">
        <f>'Macro-Economic_Demographic Data'!D48/100</f>
        <v>0.7485243097</v>
      </c>
      <c r="E62" s="53">
        <f>'Macro-Economic_Demographic Data'!Z48/100</f>
        <v>0.9894422928</v>
      </c>
      <c r="F62" s="53">
        <f>'Macro-Economic_Demographic Data'!Y48/100</f>
        <v>0.8894524503</v>
      </c>
      <c r="G62" s="53">
        <f>'Macro-Economic_Demographic Data'!X48/100</f>
        <v>0.9642972781</v>
      </c>
      <c r="S62" s="22" t="s">
        <v>231</v>
      </c>
      <c r="T62" s="80">
        <v>0.995</v>
      </c>
      <c r="U62" s="69"/>
      <c r="V62" s="69"/>
      <c r="W62" s="69"/>
      <c r="X62" s="69"/>
      <c r="Y62" s="69"/>
    </row>
    <row r="63" ht="15.0" customHeight="1">
      <c r="B63" s="50">
        <f>'Macro-Economic_Demographic Data'!A49</f>
        <v>2040</v>
      </c>
      <c r="C63" s="51">
        <f>'Macro-Economic_Demographic Data'!P49</f>
        <v>3769.861322</v>
      </c>
      <c r="D63" s="53">
        <f>'Macro-Economic_Demographic Data'!D49/100</f>
        <v>0.7563418127</v>
      </c>
      <c r="E63" s="53">
        <f>'Macro-Economic_Demographic Data'!Z49/100</f>
        <v>0.9912044928</v>
      </c>
      <c r="F63" s="53">
        <f>'Macro-Economic_Demographic Data'!Y49/100</f>
        <v>0.9091133795</v>
      </c>
      <c r="G63" s="53">
        <f>'Macro-Economic_Demographic Data'!X49/100</f>
        <v>0.9712023209</v>
      </c>
      <c r="S63" s="81" t="s">
        <v>233</v>
      </c>
      <c r="T63" s="38">
        <f>LN('Macro-Economic_Demographic Data'!Z33/100/(1-'Macro-Economic_Demographic Data'!Z33/100))</f>
        <v>1.774367727</v>
      </c>
      <c r="U63" s="69"/>
      <c r="V63" s="69"/>
      <c r="W63" s="69"/>
      <c r="X63" s="69"/>
      <c r="Y63" s="69"/>
    </row>
    <row r="64" ht="15.0" customHeight="1">
      <c r="B64" s="50">
        <f>'Macro-Economic_Demographic Data'!A50</f>
        <v>2041</v>
      </c>
      <c r="C64" s="51">
        <f>'Macro-Economic_Demographic Data'!P50</f>
        <v>3896.502116</v>
      </c>
      <c r="D64" s="53">
        <f>'Macro-Economic_Demographic Data'!D50/100</f>
        <v>0.7641455895</v>
      </c>
      <c r="E64" s="53">
        <f>'Macro-Economic_Demographic Data'!Z50/100</f>
        <v>0.9926747394</v>
      </c>
      <c r="F64" s="53">
        <f>'Macro-Economic_Demographic Data'!Y50/100</f>
        <v>0.9255702098</v>
      </c>
      <c r="G64" s="53">
        <f>'Macro-Economic_Demographic Data'!X50/100</f>
        <v>0.9768478401</v>
      </c>
      <c r="S64" s="22" t="s">
        <v>234</v>
      </c>
      <c r="T64" s="38">
        <f>LN('Macro-Economic_Demographic Data'!Y33/100/(1-'Macro-Economic_Demographic Data'!Y33/100))</f>
        <v>-1.18029032</v>
      </c>
      <c r="U64" s="69"/>
      <c r="V64" s="69"/>
      <c r="W64" s="69"/>
      <c r="X64" s="69"/>
      <c r="Y64" s="69"/>
    </row>
    <row r="65" ht="15.0" customHeight="1">
      <c r="B65" s="50">
        <f>'Macro-Economic_Demographic Data'!A51</f>
        <v>2042</v>
      </c>
      <c r="C65" s="51">
        <f>'Macro-Economic_Demographic Data'!P51</f>
        <v>4029.08522</v>
      </c>
      <c r="D65" s="53">
        <f>'Macro-Economic_Demographic Data'!D51/100</f>
        <v>0.7719354329</v>
      </c>
      <c r="E65" s="53">
        <f>'Macro-Economic_Demographic Data'!Z51/100</f>
        <v>0.9939007336</v>
      </c>
      <c r="F65" s="53">
        <f>'Macro-Economic_Demographic Data'!Y51/100</f>
        <v>0.9392463384</v>
      </c>
      <c r="G65" s="53">
        <f>'Macro-Economic_Demographic Data'!X51/100</f>
        <v>0.9814360026</v>
      </c>
      <c r="S65" s="22" t="s">
        <v>237</v>
      </c>
      <c r="T65" s="82">
        <f>2024+ROUNDUP((LN(T62/(1-T62))-T63)/T60,0)</f>
        <v>2044</v>
      </c>
    </row>
    <row r="66" ht="15.0" customHeight="1">
      <c r="B66" s="50">
        <f>'Macro-Economic_Demographic Data'!A52</f>
        <v>2043</v>
      </c>
      <c r="C66" s="51">
        <f>'Macro-Economic_Demographic Data'!P52</f>
        <v>4167.805416</v>
      </c>
      <c r="D66" s="53">
        <f>'Macro-Economic_Demographic Data'!D52/100</f>
        <v>0.7797111353</v>
      </c>
      <c r="E66" s="53">
        <f>'Macro-Economic_Demographic Data'!Z52/100</f>
        <v>0.9949225884</v>
      </c>
      <c r="F66" s="53">
        <f>'Macro-Economic_Demographic Data'!Y52/100</f>
        <v>0.9505438154</v>
      </c>
      <c r="G66" s="53">
        <f>'Macro-Economic_Demographic Data'!X52/100</f>
        <v>0.9851464389</v>
      </c>
      <c r="S66" s="22" t="s">
        <v>239</v>
      </c>
      <c r="T66" s="82">
        <f>2024+ROUNDUP((LN(T62/(1-T62))-T64)/T61,0)</f>
        <v>2054</v>
      </c>
    </row>
    <row r="67" ht="15.0" customHeight="1">
      <c r="B67" s="50">
        <f>'Macro-Economic_Demographic Data'!A53</f>
        <v>2044</v>
      </c>
      <c r="C67" s="51">
        <f>'Macro-Economic_Demographic Data'!P53</f>
        <v>4312.868916</v>
      </c>
      <c r="D67" s="53">
        <f>'Macro-Economic_Demographic Data'!D53/100</f>
        <v>0.7874724895</v>
      </c>
      <c r="E67" s="53">
        <f>'Macro-Economic_Demographic Data'!Z53/100</f>
        <v>1</v>
      </c>
      <c r="F67" s="53">
        <f>'Macro-Economic_Demographic Data'!Y53/100</f>
        <v>0.9598303128</v>
      </c>
      <c r="G67" s="53">
        <f>'Macro-Economic_Demographic Data'!X53/100</f>
        <v>0.9914628364</v>
      </c>
    </row>
    <row r="68" ht="15.0" customHeight="1">
      <c r="B68" s="50">
        <f>'Macro-Economic_Demographic Data'!A54</f>
        <v>2045</v>
      </c>
      <c r="C68" s="51">
        <f>'Macro-Economic_Demographic Data'!P54</f>
        <v>4464.732109</v>
      </c>
      <c r="D68" s="53">
        <f>'Macro-Economic_Demographic Data'!D54/100</f>
        <v>0.795219288</v>
      </c>
      <c r="E68" s="53">
        <f>'Macro-Economic_Demographic Data'!Z54/100</f>
        <v>1</v>
      </c>
      <c r="F68" s="53">
        <f>'Macro-Economic_Demographic Data'!Y54/100</f>
        <v>0.9674328075</v>
      </c>
      <c r="G68" s="53">
        <f>'Macro-Economic_Demographic Data'!X54/100</f>
        <v>0.9933308671</v>
      </c>
      <c r="S68" s="5" t="s">
        <v>240</v>
      </c>
      <c r="T68" s="8"/>
      <c r="U68" s="8"/>
      <c r="V68" s="8"/>
      <c r="W68" s="8"/>
      <c r="X68" s="8"/>
      <c r="Y68" s="8"/>
      <c r="Z68" s="8"/>
      <c r="AA68" s="8"/>
      <c r="AB68" s="10"/>
    </row>
    <row r="69" ht="15.0" customHeight="1">
      <c r="B69" s="50">
        <f>'Macro-Economic_Demographic Data'!A55</f>
        <v>2046</v>
      </c>
      <c r="C69" s="51">
        <f>'Macro-Economic_Demographic Data'!P55</f>
        <v>4623.670273</v>
      </c>
      <c r="D69" s="53">
        <f>'Macro-Economic_Demographic Data'!D55/100</f>
        <v>0.8029513233</v>
      </c>
      <c r="E69" s="53">
        <f>'Macro-Economic_Demographic Data'!Z55/100</f>
        <v>1</v>
      </c>
      <c r="F69" s="53">
        <f>'Macro-Economic_Demographic Data'!Y55/100</f>
        <v>0.9736359792</v>
      </c>
      <c r="G69" s="53">
        <f>'Macro-Economic_Demographic Data'!X55/100</f>
        <v>0.9948050046</v>
      </c>
      <c r="S69" s="11"/>
      <c r="AB69" s="12"/>
    </row>
    <row r="70" ht="15.0" customHeight="1">
      <c r="B70" s="50">
        <f>'Macro-Economic_Demographic Data'!A56</f>
        <v>2047</v>
      </c>
      <c r="C70" s="51">
        <f>'Macro-Economic_Demographic Data'!P56</f>
        <v>4790.008194</v>
      </c>
      <c r="D70" s="53">
        <f>'Macro-Economic_Demographic Data'!D56/100</f>
        <v>0.8106683881</v>
      </c>
      <c r="E70" s="53">
        <f>'Macro-Economic_Demographic Data'!Z56/100</f>
        <v>1</v>
      </c>
      <c r="F70" s="53">
        <f>'Macro-Economic_Demographic Data'!Y56/100</f>
        <v>0.978683648</v>
      </c>
      <c r="G70" s="53">
        <f>'Macro-Economic_Demographic Data'!X56/100</f>
        <v>0.9959641407</v>
      </c>
      <c r="S70" s="11"/>
      <c r="AB70" s="12"/>
    </row>
    <row r="71" ht="15.0" customHeight="1">
      <c r="B71" s="50">
        <f>'Macro-Economic_Demographic Data'!A57</f>
        <v>2048</v>
      </c>
      <c r="C71" s="51">
        <f>'Macro-Economic_Demographic Data'!P57</f>
        <v>4963.981382</v>
      </c>
      <c r="D71" s="53">
        <f>'Macro-Economic_Demographic Data'!D57/100</f>
        <v>0.818370275</v>
      </c>
      <c r="E71" s="53">
        <f>'Macro-Economic_Demographic Data'!Z57/100</f>
        <v>1</v>
      </c>
      <c r="F71" s="53">
        <f>'Macro-Economic_Demographic Data'!Y57/100</f>
        <v>0.9827819781</v>
      </c>
      <c r="G71" s="53">
        <f>'Macro-Economic_Demographic Data'!X57/100</f>
        <v>0.9968726954</v>
      </c>
      <c r="S71" s="11"/>
      <c r="AB71" s="12"/>
    </row>
    <row r="72" ht="15.0" customHeight="1">
      <c r="B72" s="50">
        <f>'Macro-Economic_Demographic Data'!A58</f>
        <v>2049</v>
      </c>
      <c r="C72" s="51">
        <f>'Macro-Economic_Demographic Data'!P58</f>
        <v>5146.069824</v>
      </c>
      <c r="D72" s="53">
        <f>'Macro-Economic_Demographic Data'!D58/100</f>
        <v>0.8260567706</v>
      </c>
      <c r="E72" s="53">
        <f>'Macro-Economic_Demographic Data'!Z58/100</f>
        <v>1</v>
      </c>
      <c r="F72" s="53">
        <f>'Macro-Economic_Demographic Data'!Y58/100</f>
        <v>0.9861035422</v>
      </c>
      <c r="G72" s="53">
        <f>'Macro-Economic_Demographic Data'!X58/100</f>
        <v>0.9975828053</v>
      </c>
      <c r="S72" s="11"/>
      <c r="AB72" s="12"/>
    </row>
    <row r="73" ht="15.0" customHeight="1">
      <c r="B73" s="50">
        <f>'Macro-Economic_Demographic Data'!A59</f>
        <v>2050</v>
      </c>
      <c r="C73" s="51">
        <f>'Macro-Economic_Demographic Data'!P59</f>
        <v>5336.51722</v>
      </c>
      <c r="D73" s="53">
        <f>'Macro-Economic_Demographic Data'!D59/100</f>
        <v>0.8337277153</v>
      </c>
      <c r="E73" s="53">
        <f>'Macro-Economic_Demographic Data'!Z59/100</f>
        <v>1</v>
      </c>
      <c r="F73" s="53">
        <f>'Macro-Economic_Demographic Data'!Y59/100</f>
        <v>0.9887916444</v>
      </c>
      <c r="G73" s="53">
        <f>'Macro-Economic_Demographic Data'!X59/100</f>
        <v>0.9981363611</v>
      </c>
      <c r="S73" s="11"/>
      <c r="AB73" s="12"/>
    </row>
    <row r="74" ht="15.0" customHeight="1">
      <c r="B74" s="50">
        <f>'Macro-Economic_Demographic Data'!A60</f>
        <v>2051</v>
      </c>
      <c r="C74" s="51">
        <f>'Macro-Economic_Demographic Data'!P60</f>
        <v>5535.596917</v>
      </c>
      <c r="D74" s="53">
        <f>'Macro-Economic_Demographic Data'!D60/100</f>
        <v>0.8451367655</v>
      </c>
      <c r="E74" s="53">
        <f>'Macro-Economic_Demographic Data'!Z60/100</f>
        <v>1</v>
      </c>
      <c r="F74" s="53">
        <f>'Macro-Economic_Demographic Data'!Y60/100</f>
        <v>0.9909645301</v>
      </c>
      <c r="G74" s="53">
        <f>'Macro-Economic_Demographic Data'!X60/100</f>
        <v>0.9986007379</v>
      </c>
      <c r="S74" s="11"/>
      <c r="AB74" s="12"/>
    </row>
    <row r="75" ht="15.0" customHeight="1">
      <c r="B75" s="50">
        <f>'Macro-Economic_Demographic Data'!A61</f>
        <v>2052</v>
      </c>
      <c r="C75" s="51">
        <f>'Macro-Economic_Demographic Data'!P61</f>
        <v>5743.917194</v>
      </c>
      <c r="D75" s="53">
        <f>'Macro-Economic_Demographic Data'!D61/100</f>
        <v>0.8531759921</v>
      </c>
      <c r="E75" s="53">
        <f>'Macro-Economic_Demographic Data'!Z61/100</f>
        <v>1</v>
      </c>
      <c r="F75" s="53">
        <f>'Macro-Economic_Demographic Data'!Y61/100</f>
        <v>0.9927192753</v>
      </c>
      <c r="G75" s="53">
        <f>'Macro-Economic_Demographic Data'!X61/100</f>
        <v>0.9989310148</v>
      </c>
      <c r="S75" s="14"/>
      <c r="T75" s="15"/>
      <c r="U75" s="15"/>
      <c r="V75" s="15"/>
      <c r="W75" s="15"/>
      <c r="X75" s="15"/>
      <c r="Y75" s="15"/>
      <c r="Z75" s="15"/>
      <c r="AA75" s="15"/>
      <c r="AB75" s="17"/>
    </row>
    <row r="76" ht="15.0" customHeight="1">
      <c r="B76" s="50">
        <f>'Macro-Economic_Demographic Data'!A62</f>
        <v>2053</v>
      </c>
      <c r="C76" s="51">
        <f>'Macro-Economic_Demographic Data'!P62</f>
        <v>5961.772198</v>
      </c>
      <c r="D76" s="53">
        <f>'Macro-Economic_Demographic Data'!D62/100</f>
        <v>0.8612152187</v>
      </c>
      <c r="E76" s="53">
        <f>'Macro-Economic_Demographic Data'!Z62/100</f>
        <v>1</v>
      </c>
      <c r="F76" s="53">
        <f>'Macro-Economic_Demographic Data'!Y62/100</f>
        <v>0.9941352548</v>
      </c>
      <c r="G76" s="53">
        <f>'Macro-Economic_Demographic Data'!X62/100</f>
        <v>0.9991860626</v>
      </c>
      <c r="S76" s="50"/>
      <c r="T76" s="56"/>
      <c r="U76" s="56"/>
      <c r="V76" s="56"/>
      <c r="W76" s="56"/>
    </row>
    <row r="77" ht="15.0" customHeight="1">
      <c r="B77" s="50">
        <f>'Macro-Economic_Demographic Data'!A63</f>
        <v>2054</v>
      </c>
      <c r="C77" s="51">
        <f>'Macro-Economic_Demographic Data'!P63</f>
        <v>6189.797948</v>
      </c>
      <c r="D77" s="53">
        <f>'Macro-Economic_Demographic Data'!D63/100</f>
        <v>0.8692544453</v>
      </c>
      <c r="E77" s="53">
        <f>'Macro-Economic_Demographic Data'!Z63/100</f>
        <v>1</v>
      </c>
      <c r="F77" s="53">
        <f>'Macro-Economic_Demographic Data'!Y63/100</f>
        <v>1</v>
      </c>
      <c r="G77" s="53">
        <f>'Macro-Economic_Demographic Data'!X63/100</f>
        <v>1</v>
      </c>
      <c r="S77" s="94" t="s">
        <v>242</v>
      </c>
      <c r="T77" s="56"/>
      <c r="U77" s="56"/>
      <c r="V77" s="56"/>
      <c r="W77" s="56"/>
      <c r="X77" s="69"/>
      <c r="Y77" s="69"/>
    </row>
    <row r="78" ht="15.0" customHeight="1">
      <c r="B78" s="50">
        <f>'Macro-Economic_Demographic Data'!A64</f>
        <v>2055</v>
      </c>
      <c r="C78" s="51">
        <f>'Macro-Economic_Demographic Data'!P64</f>
        <v>6428.498263</v>
      </c>
      <c r="D78" s="53">
        <f>'Macro-Economic_Demographic Data'!D64/100</f>
        <v>0.8772936719</v>
      </c>
      <c r="E78" s="53">
        <f>'Macro-Economic_Demographic Data'!Z64/100</f>
        <v>1</v>
      </c>
      <c r="F78" s="53">
        <f>'Macro-Economic_Demographic Data'!Y64/100</f>
        <v>1</v>
      </c>
      <c r="G78" s="53">
        <f>'Macro-Economic_Demographic Data'!X64/100</f>
        <v>1</v>
      </c>
      <c r="S78" s="94" t="s">
        <v>4</v>
      </c>
      <c r="T78" s="95" t="s">
        <v>243</v>
      </c>
      <c r="U78" s="95" t="s">
        <v>244</v>
      </c>
      <c r="V78" s="95" t="s">
        <v>245</v>
      </c>
      <c r="W78" s="95" t="s">
        <v>246</v>
      </c>
      <c r="X78" s="69"/>
      <c r="Y78" s="69"/>
    </row>
    <row r="79" ht="15.0" customHeight="1">
      <c r="B79" s="50">
        <f>'Macro-Economic_Demographic Data'!A65</f>
        <v>2056</v>
      </c>
      <c r="C79" s="51">
        <f>'Macro-Economic_Demographic Data'!P65</f>
        <v>6678.19658</v>
      </c>
      <c r="D79" s="53">
        <f>'Macro-Economic_Demographic Data'!D65/100</f>
        <v>0.8853328985</v>
      </c>
      <c r="E79" s="53">
        <f>'Macro-Economic_Demographic Data'!Z65/100</f>
        <v>1</v>
      </c>
      <c r="F79" s="53">
        <f>'Macro-Economic_Demographic Data'!Y65/100</f>
        <v>1</v>
      </c>
      <c r="G79" s="53">
        <f>'Macro-Economic_Demographic Data'!X65/100</f>
        <v>1</v>
      </c>
      <c r="S79" s="50">
        <v>2030.0</v>
      </c>
      <c r="T79" s="56">
        <f>100*MIN('Urban Panel'!$K$24,1/(1+EXP(-('Urban Panel'!$K$15+'Urban Panel'!$K$14*LN('Macro-Economic_Demographic Data'!P39/'Urban Panel'!$K$18)+'Urban Panel'!$K$22*EXP(-LN(2)/'Urban Panel'!$K$23*(2030-2024))))))</f>
        <v>90.86759206</v>
      </c>
      <c r="U79" s="56">
        <f>'Macro-Economic_Demographic Data'!Z39</f>
        <v>94.68858291</v>
      </c>
      <c r="V79" s="56">
        <f>100/(1+EXP(-($L$18+$L$17*LN('Macro-Economic_Demographic Data'!P39))))</f>
        <v>29.45892806</v>
      </c>
      <c r="W79" s="56">
        <f>'Macro-Economic_Demographic Data'!Y39</f>
        <v>53.14309831</v>
      </c>
      <c r="X79" s="69"/>
      <c r="Y79" s="69"/>
    </row>
    <row r="80" ht="15.0" customHeight="1">
      <c r="B80" s="50">
        <f>'Macro-Economic_Demographic Data'!A66</f>
        <v>2057</v>
      </c>
      <c r="C80" s="51">
        <f>'Macro-Economic_Demographic Data'!P66</f>
        <v>6939.463476</v>
      </c>
      <c r="D80" s="53">
        <f>'Macro-Economic_Demographic Data'!D66/100</f>
        <v>0.8933721251</v>
      </c>
      <c r="E80" s="53">
        <f>'Macro-Economic_Demographic Data'!Z66/100</f>
        <v>1</v>
      </c>
      <c r="F80" s="53">
        <f>'Macro-Economic_Demographic Data'!Y66/100</f>
        <v>1</v>
      </c>
      <c r="G80" s="53">
        <f>'Macro-Economic_Demographic Data'!X66/100</f>
        <v>1</v>
      </c>
      <c r="S80" s="50">
        <v>2040.0</v>
      </c>
      <c r="T80" s="56">
        <f>100*MIN('Urban Panel'!$K$24,1/(1+EXP(-('Urban Panel'!$K$15+'Urban Panel'!$K$14*LN('Macro-Economic_Demographic Data'!P49/'Urban Panel'!$K$18)+'Urban Panel'!$K$22*EXP(-LN(2)/'Urban Panel'!$K$23*(2040-2024))))))</f>
        <v>95.33129722</v>
      </c>
      <c r="U80" s="56">
        <f>'Macro-Economic_Demographic Data'!Z49</f>
        <v>99.12044928</v>
      </c>
      <c r="V80" s="56">
        <f>100/(1+EXP(-($L$18+$L$17*LN('Macro-Economic_Demographic Data'!P49))))</f>
        <v>34.42659791</v>
      </c>
      <c r="W80" s="56">
        <f>'Macro-Economic_Demographic Data'!Y49</f>
        <v>90.91133795</v>
      </c>
      <c r="X80" s="69"/>
      <c r="Y80" s="69"/>
    </row>
    <row r="81" ht="15.0" customHeight="1">
      <c r="B81" s="50">
        <f>'Macro-Economic_Demographic Data'!A67</f>
        <v>2058</v>
      </c>
      <c r="C81" s="51">
        <f>'Macro-Economic_Demographic Data'!P67</f>
        <v>7213.002086</v>
      </c>
      <c r="D81" s="53">
        <f>'Macro-Economic_Demographic Data'!D67/100</f>
        <v>0.9014113517</v>
      </c>
      <c r="E81" s="53">
        <f>'Macro-Economic_Demographic Data'!Z67/100</f>
        <v>1</v>
      </c>
      <c r="F81" s="53">
        <f>'Macro-Economic_Demographic Data'!Y67/100</f>
        <v>1</v>
      </c>
      <c r="G81" s="53">
        <f>'Macro-Economic_Demographic Data'!X67/100</f>
        <v>1</v>
      </c>
      <c r="S81" s="50">
        <v>2050.0</v>
      </c>
      <c r="T81" s="56">
        <f>100*MIN('Urban Panel'!$K$24,1/(1+EXP(-('Urban Panel'!$K$15+'Urban Panel'!$K$14*LN('Macro-Economic_Demographic Data'!P59/'Urban Panel'!$K$18)+'Urban Panel'!$K$22*EXP(-LN(2)/'Urban Panel'!$K$23*(2050-2024))))))</f>
        <v>97.40574103</v>
      </c>
      <c r="U81" s="56">
        <f>'Macro-Economic_Demographic Data'!Z59</f>
        <v>100</v>
      </c>
      <c r="V81" s="56">
        <f>100/(1+EXP(-($L$18+$L$17*LN('Macro-Economic_Demographic Data'!P59))))</f>
        <v>40.41154224</v>
      </c>
      <c r="W81" s="56">
        <f>'Macro-Economic_Demographic Data'!Y59</f>
        <v>98.87916444</v>
      </c>
      <c r="X81" s="69"/>
      <c r="Y81" s="69"/>
    </row>
    <row r="82" ht="15.0" customHeight="1">
      <c r="B82" s="50">
        <f>'Macro-Economic_Demographic Data'!A68</f>
        <v>2059</v>
      </c>
      <c r="C82" s="51">
        <f>'Macro-Economic_Demographic Data'!P68</f>
        <v>7499.236199</v>
      </c>
      <c r="D82" s="53">
        <f>'Macro-Economic_Demographic Data'!D68/100</f>
        <v>0.9094505783</v>
      </c>
      <c r="E82" s="53">
        <f>'Macro-Economic_Demographic Data'!Z68/100</f>
        <v>1</v>
      </c>
      <c r="F82" s="53">
        <f>'Macro-Economic_Demographic Data'!Y68/100</f>
        <v>1</v>
      </c>
      <c r="G82" s="53">
        <f>'Macro-Economic_Demographic Data'!X68/100</f>
        <v>1</v>
      </c>
      <c r="S82" s="50">
        <v>2060.0</v>
      </c>
      <c r="T82" s="56">
        <f>100*MIN('Urban Panel'!$K$24,1/(1+EXP(-('Urban Panel'!$K$15+'Urban Panel'!$K$14*LN('Macro-Economic_Demographic Data'!P69/'Urban Panel'!$K$18)+'Urban Panel'!$K$22*EXP(-LN(2)/'Urban Panel'!$K$23*(2060-2024))))))</f>
        <v>98.5026249</v>
      </c>
      <c r="U82" s="56">
        <f>'Macro-Economic_Demographic Data'!Z69</f>
        <v>100</v>
      </c>
      <c r="V82" s="56">
        <f>100/(1+EXP(-($L$18+$L$17*LN('Macro-Economic_Demographic Data'!P69))))</f>
        <v>47.28085368</v>
      </c>
      <c r="W82" s="56">
        <f>'Macro-Economic_Demographic Data'!Y69</f>
        <v>100</v>
      </c>
      <c r="X82" s="69"/>
      <c r="Y82" s="69"/>
    </row>
    <row r="83" ht="15.0" customHeight="1">
      <c r="B83" s="50">
        <f>'Macro-Economic_Demographic Data'!A69</f>
        <v>2060</v>
      </c>
      <c r="C83" s="51">
        <f>'Macro-Economic_Demographic Data'!P69</f>
        <v>7798.902358</v>
      </c>
      <c r="D83" s="53">
        <f>'Macro-Economic_Demographic Data'!D69/100</f>
        <v>0.9174898049</v>
      </c>
      <c r="E83" s="53">
        <f>'Macro-Economic_Demographic Data'!Z69/100</f>
        <v>1</v>
      </c>
      <c r="F83" s="53">
        <f>'Macro-Economic_Demographic Data'!Y69/100</f>
        <v>1</v>
      </c>
      <c r="G83" s="53">
        <f>'Macro-Economic_Demographic Data'!X69/100</f>
        <v>1</v>
      </c>
      <c r="S83" s="69"/>
      <c r="T83" s="69"/>
      <c r="U83" s="69"/>
      <c r="V83" s="69"/>
      <c r="W83" s="69"/>
      <c r="X83" s="69"/>
      <c r="Y83" s="69"/>
    </row>
    <row r="84" ht="15.75" customHeight="1"/>
    <row r="85" ht="15.75" customHeight="1"/>
    <row r="86" ht="15.75" customHeight="1"/>
    <row r="87" ht="15.75" customHeight="1"/>
    <row r="88" ht="15.75" customHeight="1"/>
    <row r="89" ht="15.0" customHeight="1">
      <c r="C89" s="27" t="s">
        <v>250</v>
      </c>
      <c r="D89" s="27" t="s">
        <v>251</v>
      </c>
      <c r="E89" s="27" t="s">
        <v>252</v>
      </c>
    </row>
    <row r="90" ht="15.0" customHeight="1">
      <c r="B90" s="27">
        <f>'Macro-Economic_Demographic Data'!A4</f>
        <v>1995</v>
      </c>
      <c r="C90" s="53">
        <f>'Macro-Economic_Demographic Data'!Z4/100</f>
        <v>0.8400492859</v>
      </c>
      <c r="D90" s="53">
        <f>'Macro-Economic_Demographic Data'!Y4/100</f>
        <v>0.1715976838</v>
      </c>
      <c r="E90" s="53">
        <f>'Macro-Economic_Demographic Data'!X4/100</f>
        <v>0.3868725204</v>
      </c>
    </row>
    <row r="91" ht="15.0" customHeight="1">
      <c r="B91" s="27">
        <f>'Macro-Economic_Demographic Data'!A5</f>
        <v>1996</v>
      </c>
      <c r="C91" s="53">
        <f>'Macro-Economic_Demographic Data'!Z5/100</f>
        <v>0.8403647614</v>
      </c>
      <c r="D91" s="53">
        <f>'Macro-Economic_Demographic Data'!Y5/100</f>
        <v>0.1790320578</v>
      </c>
      <c r="E91" s="53">
        <f>'Macro-Economic_Demographic Data'!X5/100</f>
        <v>0.395453186</v>
      </c>
    </row>
    <row r="92" ht="15.0" customHeight="1">
      <c r="B92" s="27">
        <f>'Macro-Economic_Demographic Data'!A6</f>
        <v>1997</v>
      </c>
      <c r="C92" s="53">
        <f>'Macro-Economic_Demographic Data'!Z6/100</f>
        <v>0.8405222321</v>
      </c>
      <c r="D92" s="53">
        <f>'Macro-Economic_Demographic Data'!Y6/100</f>
        <v>0.1865854707</v>
      </c>
      <c r="E92" s="53">
        <f>'Macro-Economic_Demographic Data'!X6/100</f>
        <v>0.4039998245</v>
      </c>
    </row>
    <row r="93" ht="15.0" customHeight="1">
      <c r="B93" s="27">
        <f>'Macro-Economic_Demographic Data'!A7</f>
        <v>1998</v>
      </c>
      <c r="C93" s="53">
        <f>'Macro-Economic_Demographic Data'!Z7/100</f>
        <v>0.8404901886</v>
      </c>
      <c r="D93" s="53">
        <f>'Macro-Economic_Demographic Data'!Y7/100</f>
        <v>0.1942514891</v>
      </c>
      <c r="E93" s="53">
        <f>'Macro-Economic_Demographic Data'!X7/100</f>
        <v>0.4125056839</v>
      </c>
    </row>
    <row r="94" ht="15.0" customHeight="1">
      <c r="B94" s="27">
        <f>'Macro-Economic_Demographic Data'!A8</f>
        <v>1999</v>
      </c>
      <c r="C94" s="53">
        <f>'Macro-Economic_Demographic Data'!Z8/100</f>
        <v>0.843</v>
      </c>
      <c r="D94" s="53">
        <f>'Macro-Economic_Demographic Data'!Y8/100</f>
        <v>0.2432679007</v>
      </c>
      <c r="E94" s="53">
        <f>'Macro-Economic_Demographic Data'!X8/100</f>
        <v>0.449</v>
      </c>
    </row>
    <row r="95" ht="15.0" customHeight="1">
      <c r="B95" s="27">
        <f>'Macro-Economic_Demographic Data'!A9</f>
        <v>2000</v>
      </c>
      <c r="C95" s="53">
        <f>'Macro-Economic_Demographic Data'!Z9/100</f>
        <v>0.838</v>
      </c>
      <c r="D95" s="53">
        <f>'Macro-Economic_Demographic Data'!Y9/100</f>
        <v>0.215</v>
      </c>
      <c r="E95" s="53">
        <f>'Macro-Economic_Demographic Data'!X9/100</f>
        <v>0.432</v>
      </c>
    </row>
    <row r="96" ht="15.0" customHeight="1">
      <c r="B96" s="27">
        <f>'Macro-Economic_Demographic Data'!A10</f>
        <v>2001</v>
      </c>
      <c r="C96" s="53">
        <f>'Macro-Economic_Demographic Data'!Z10/100</f>
        <v>0.838</v>
      </c>
      <c r="D96" s="53">
        <f>'Macro-Economic_Demographic Data'!Y10/100</f>
        <v>0.218</v>
      </c>
      <c r="E96" s="53">
        <f>'Macro-Economic_Demographic Data'!X10/100</f>
        <v>0.439</v>
      </c>
    </row>
    <row r="97" ht="15.0" customHeight="1">
      <c r="B97" s="27">
        <f>'Macro-Economic_Demographic Data'!A11</f>
        <v>2002</v>
      </c>
      <c r="C97" s="53">
        <f>'Macro-Economic_Demographic Data'!Z11/100</f>
        <v>0.838</v>
      </c>
      <c r="D97" s="53">
        <f>'Macro-Economic_Demographic Data'!Y11/100</f>
        <v>0.221</v>
      </c>
      <c r="E97" s="53">
        <f>'Macro-Economic_Demographic Data'!X11/100</f>
        <v>0.446</v>
      </c>
    </row>
    <row r="98" ht="15.0" customHeight="1">
      <c r="B98" s="27">
        <f>'Macro-Economic_Demographic Data'!A12</f>
        <v>2003</v>
      </c>
      <c r="C98" s="53">
        <f>'Macro-Economic_Demographic Data'!Z12/100</f>
        <v>0.849</v>
      </c>
      <c r="D98" s="53">
        <f>'Macro-Economic_Demographic Data'!Y12/100</f>
        <v>0.327</v>
      </c>
      <c r="E98" s="53">
        <f>'Macro-Economic_Demographic Data'!X12/100</f>
        <v>0.522</v>
      </c>
    </row>
    <row r="99" ht="15.0" customHeight="1">
      <c r="B99" s="27">
        <f>'Macro-Economic_Demographic Data'!A13</f>
        <v>2004</v>
      </c>
      <c r="C99" s="53">
        <f>'Macro-Economic_Demographic Data'!Z13/100</f>
        <v>0.838</v>
      </c>
      <c r="D99" s="53">
        <f>'Macro-Economic_Demographic Data'!Y13/100</f>
        <v>0.228</v>
      </c>
      <c r="E99" s="53">
        <f>'Macro-Economic_Demographic Data'!X13/100</f>
        <v>0.461</v>
      </c>
    </row>
    <row r="100" ht="15.0" customHeight="1">
      <c r="B100" s="27">
        <f>'Macro-Economic_Demographic Data'!A14</f>
        <v>2005</v>
      </c>
      <c r="C100" s="53">
        <f>'Macro-Economic_Demographic Data'!Z14/100</f>
        <v>0.838</v>
      </c>
      <c r="D100" s="53">
        <f>'Macro-Economic_Demographic Data'!Y14/100</f>
        <v>0.231</v>
      </c>
      <c r="E100" s="53">
        <f>'Macro-Economic_Demographic Data'!X14/100</f>
        <v>0.468</v>
      </c>
    </row>
    <row r="101" ht="15.0" customHeight="1">
      <c r="B101" s="27">
        <f>'Macro-Economic_Demographic Data'!A15</f>
        <v>2006</v>
      </c>
      <c r="C101" s="53">
        <f>'Macro-Economic_Demographic Data'!Z15/100</f>
        <v>0.839</v>
      </c>
      <c r="D101" s="53">
        <f>'Macro-Economic_Demographic Data'!Y15/100</f>
        <v>0.235</v>
      </c>
      <c r="E101" s="53">
        <f>'Macro-Economic_Demographic Data'!X15/100</f>
        <v>0.476</v>
      </c>
    </row>
    <row r="102" ht="15.0" customHeight="1">
      <c r="B102" s="27">
        <f>'Macro-Economic_Demographic Data'!A16</f>
        <v>2007</v>
      </c>
      <c r="C102" s="53">
        <f>'Macro-Economic_Demographic Data'!Z16/100</f>
        <v>0.862</v>
      </c>
      <c r="D102" s="53">
        <f>'Macro-Economic_Demographic Data'!Y16/100</f>
        <v>0.253</v>
      </c>
      <c r="E102" s="53">
        <f>'Macro-Economic_Demographic Data'!X16/100</f>
        <v>0.501</v>
      </c>
    </row>
    <row r="103" ht="15.0" customHeight="1">
      <c r="B103" s="27">
        <f>'Macro-Economic_Demographic Data'!A17</f>
        <v>2008</v>
      </c>
      <c r="C103" s="53">
        <f>'Macro-Economic_Demographic Data'!Z17/100</f>
        <v>0.848</v>
      </c>
      <c r="D103" s="53">
        <f>'Macro-Economic_Demographic Data'!Y17/100</f>
        <v>0.256</v>
      </c>
      <c r="E103" s="53">
        <f>'Macro-Economic_Demographic Data'!X17/100</f>
        <v>0.503</v>
      </c>
    </row>
    <row r="104" ht="15.0" customHeight="1">
      <c r="B104" s="27">
        <f>'Macro-Economic_Demographic Data'!A18</f>
        <v>2009</v>
      </c>
      <c r="C104" s="53">
        <f>'Macro-Economic_Demographic Data'!Z18/100</f>
        <v>0.841</v>
      </c>
      <c r="D104" s="53">
        <f>'Macro-Economic_Demographic Data'!Y18/100</f>
        <v>0.246</v>
      </c>
      <c r="E104" s="53">
        <f>'Macro-Economic_Demographic Data'!X18/100</f>
        <v>0.5</v>
      </c>
    </row>
    <row r="105" ht="15.0" customHeight="1">
      <c r="B105" s="27">
        <f>'Macro-Economic_Demographic Data'!A19</f>
        <v>2010</v>
      </c>
      <c r="C105" s="53">
        <f>'Macro-Economic_Demographic Data'!Z19/100</f>
        <v>0.798</v>
      </c>
      <c r="D105" s="53">
        <f>'Macro-Economic_Demographic Data'!Y19/100</f>
        <v>0.235</v>
      </c>
      <c r="E105" s="53">
        <f>'Macro-Economic_Demographic Data'!X19/100</f>
        <v>0.48</v>
      </c>
    </row>
    <row r="106" ht="15.0" customHeight="1">
      <c r="B106" s="27">
        <f>'Macro-Economic_Demographic Data'!A20</f>
        <v>2011</v>
      </c>
      <c r="C106" s="53">
        <f>'Macro-Economic_Demographic Data'!Z20/100</f>
        <v>0.871</v>
      </c>
      <c r="D106" s="53">
        <f>'Macro-Economic_Demographic Data'!Y20/100</f>
        <v>0.31</v>
      </c>
      <c r="E106" s="53">
        <f>'Macro-Economic_Demographic Data'!X20/100</f>
        <v>0.559</v>
      </c>
    </row>
    <row r="107" ht="15.0" customHeight="1">
      <c r="B107" s="27">
        <f>'Macro-Economic_Demographic Data'!A21</f>
        <v>2012</v>
      </c>
      <c r="C107" s="53">
        <f>'Macro-Economic_Demographic Data'!Z21/100</f>
        <v>0.845</v>
      </c>
      <c r="D107" s="53">
        <f>'Macro-Economic_Demographic Data'!Y21/100</f>
        <v>0.27</v>
      </c>
      <c r="E107" s="53">
        <f>'Macro-Economic_Demographic Data'!X21/100</f>
        <v>0.53</v>
      </c>
    </row>
    <row r="108" ht="15.0" customHeight="1">
      <c r="B108" s="27">
        <f>'Macro-Economic_Demographic Data'!A22</f>
        <v>2013</v>
      </c>
      <c r="C108" s="53">
        <f>'Macro-Economic_Demographic Data'!Z22/100</f>
        <v>0.836</v>
      </c>
      <c r="D108" s="53">
        <f>'Macro-Economic_Demographic Data'!Y22/100</f>
        <v>0.316</v>
      </c>
      <c r="E108" s="53">
        <f>'Macro-Economic_Demographic Data'!X22/100</f>
        <v>0.556</v>
      </c>
    </row>
    <row r="109" ht="15.0" customHeight="1">
      <c r="B109" s="27">
        <f>'Macro-Economic_Demographic Data'!A23</f>
        <v>2014</v>
      </c>
      <c r="C109" s="53">
        <f>'Macro-Economic_Demographic Data'!Z23/100</f>
        <v>0.847</v>
      </c>
      <c r="D109" s="53">
        <f>'Macro-Economic_Demographic Data'!Y23/100</f>
        <v>0.271</v>
      </c>
      <c r="E109" s="53">
        <f>'Macro-Economic_Demographic Data'!X23/100</f>
        <v>0.542</v>
      </c>
    </row>
    <row r="110" ht="15.0" customHeight="1">
      <c r="B110" s="27">
        <f>'Macro-Economic_Demographic Data'!A24</f>
        <v>2015</v>
      </c>
      <c r="C110" s="53">
        <f>'Macro-Economic_Demographic Data'!Z24/100</f>
        <v>0.815</v>
      </c>
      <c r="D110" s="53">
        <f>'Macro-Economic_Demographic Data'!Y24/100</f>
        <v>0.259</v>
      </c>
      <c r="E110" s="53">
        <f>'Macro-Economic_Demographic Data'!X24/100</f>
        <v>0.525</v>
      </c>
    </row>
    <row r="111" ht="15.0" customHeight="1">
      <c r="B111" s="27">
        <f>'Macro-Economic_Demographic Data'!A25</f>
        <v>2016</v>
      </c>
      <c r="C111" s="53">
        <f>'Macro-Economic_Demographic Data'!Z25/100</f>
        <v>0.86</v>
      </c>
      <c r="D111" s="53">
        <f>'Macro-Economic_Demographic Data'!Y25/100</f>
        <v>0.34</v>
      </c>
      <c r="E111" s="53">
        <f>'Macro-Economic_Demographic Data'!X25/100</f>
        <v>0.593</v>
      </c>
    </row>
    <row r="112" ht="15.0" customHeight="1">
      <c r="B112" s="27">
        <f>'Macro-Economic_Demographic Data'!A26</f>
        <v>2017</v>
      </c>
      <c r="C112" s="53">
        <f>'Macro-Economic_Demographic Data'!Z26/100</f>
        <v>0.868</v>
      </c>
      <c r="D112" s="53">
        <f>'Macro-Economic_Demographic Data'!Y26/100</f>
        <v>0.226</v>
      </c>
      <c r="E112" s="53">
        <f>'Macro-Economic_Demographic Data'!X26/100</f>
        <v>0.544</v>
      </c>
    </row>
    <row r="113" ht="15.0" customHeight="1">
      <c r="B113" s="27">
        <f>'Macro-Economic_Demographic Data'!A27</f>
        <v>2018</v>
      </c>
      <c r="C113" s="53">
        <f>'Macro-Economic_Demographic Data'!Z27/100</f>
        <v>0.817</v>
      </c>
      <c r="D113" s="53">
        <f>'Macro-Economic_Demographic Data'!Y27/100</f>
        <v>0.31</v>
      </c>
      <c r="E113" s="53">
        <f>'Macro-Economic_Demographic Data'!X27/100</f>
        <v>0.565</v>
      </c>
    </row>
    <row r="114" ht="15.0" customHeight="1">
      <c r="B114" s="27">
        <f>'Macro-Economic_Demographic Data'!A28</f>
        <v>2019</v>
      </c>
      <c r="C114" s="53">
        <f>'Macro-Economic_Demographic Data'!Z28/100</f>
        <v>0.839</v>
      </c>
      <c r="D114" s="53">
        <f>'Macro-Economic_Demographic Data'!Y28/100</f>
        <v>0.255</v>
      </c>
      <c r="E114" s="53">
        <f>'Macro-Economic_Demographic Data'!X28/100</f>
        <v>0.554</v>
      </c>
    </row>
    <row r="115" ht="15.0" customHeight="1">
      <c r="B115" s="27">
        <f>'Macro-Economic_Demographic Data'!A29</f>
        <v>2020</v>
      </c>
      <c r="C115" s="53">
        <f>'Macro-Economic_Demographic Data'!Z29/100</f>
        <v>0.839</v>
      </c>
      <c r="D115" s="53">
        <f>'Macro-Economic_Demographic Data'!Y29/100</f>
        <v>0.246</v>
      </c>
      <c r="E115" s="53">
        <f>'Macro-Economic_Demographic Data'!X29/100</f>
        <v>0.554</v>
      </c>
    </row>
    <row r="116" ht="15.0" customHeight="1">
      <c r="B116" s="27">
        <f>'Macro-Economic_Demographic Data'!A30</f>
        <v>2021</v>
      </c>
      <c r="C116" s="53">
        <f>'Macro-Economic_Demographic Data'!Z30/100</f>
        <v>0.892</v>
      </c>
      <c r="D116" s="53">
        <f>'Macro-Economic_Demographic Data'!Y30/100</f>
        <v>0.263</v>
      </c>
      <c r="E116" s="53">
        <f>'Macro-Economic_Demographic Data'!X30/100</f>
        <v>0.595</v>
      </c>
    </row>
    <row r="117" ht="15.0" customHeight="1">
      <c r="B117" s="27">
        <f>'Macro-Economic_Demographic Data'!A31</f>
        <v>2022</v>
      </c>
      <c r="C117" s="53">
        <f>'Macro-Economic_Demographic Data'!Z31/100</f>
        <v>0.89</v>
      </c>
      <c r="D117" s="53">
        <f>'Macro-Economic_Demographic Data'!Y31/100</f>
        <v>0.27</v>
      </c>
      <c r="E117" s="53">
        <f>'Macro-Economic_Demographic Data'!X31/100</f>
        <v>0.605</v>
      </c>
    </row>
    <row r="118" ht="15.0" customHeight="1">
      <c r="B118" s="27">
        <f>'Macro-Economic_Demographic Data'!A32</f>
        <v>2023</v>
      </c>
      <c r="C118" s="53">
        <f>'Macro-Economic_Demographic Data'!Z32/100</f>
        <v>0.85</v>
      </c>
      <c r="D118" s="53">
        <f>'Macro-Economic_Demographic Data'!Y32/100</f>
        <v>0.329</v>
      </c>
      <c r="E118" s="53">
        <f>'Macro-Economic_Demographic Data'!X32/100</f>
        <v>0.612</v>
      </c>
    </row>
    <row r="119" ht="15.0" customHeight="1">
      <c r="B119" s="27">
        <f>'Macro-Economic_Demographic Data'!A33</f>
        <v>2024</v>
      </c>
      <c r="C119" s="53">
        <f>'Macro-Economic_Demographic Data'!Z33/100</f>
        <v>0.855</v>
      </c>
      <c r="D119" s="53">
        <f>'Macro-Economic_Demographic Data'!Y33/100</f>
        <v>0.235</v>
      </c>
      <c r="E119" s="53">
        <f>'Macro-Economic_Demographic Data'!X33/100</f>
        <v>0.625</v>
      </c>
    </row>
    <row r="120" ht="15.0" customHeight="1">
      <c r="B120" s="27">
        <f>'Macro-Economic_Demographic Data'!A34</f>
        <v>2025</v>
      </c>
      <c r="C120" s="53">
        <f>'Macro-Economic_Demographic Data'!Z34/100</f>
        <v>0.8763989351</v>
      </c>
      <c r="D120" s="53">
        <f>'Macro-Economic_Demographic Data'!Y34/100</f>
        <v>0.2763592113</v>
      </c>
      <c r="E120" s="53">
        <f>'Macro-Economic_Demographic Data'!X34/100</f>
        <v>0.6590370536</v>
      </c>
    </row>
    <row r="121" ht="15.0" customHeight="1">
      <c r="B121" s="27">
        <f>'Macro-Economic_Demographic Data'!A35</f>
        <v>2026</v>
      </c>
      <c r="C121" s="53">
        <f>'Macro-Economic_Demographic Data'!Z35/100</f>
        <v>0.8950275662</v>
      </c>
      <c r="D121" s="53">
        <f>'Macro-Economic_Demographic Data'!Y35/100</f>
        <v>0.3219342554</v>
      </c>
      <c r="E121" s="53">
        <f>'Macro-Economic_Demographic Data'!X35/100</f>
        <v>0.6920047165</v>
      </c>
    </row>
    <row r="122" ht="15.0" customHeight="1">
      <c r="B122" s="27">
        <f>'Macro-Economic_Demographic Data'!A36</f>
        <v>2027</v>
      </c>
      <c r="C122" s="53">
        <f>'Macro-Economic_Demographic Data'!Z36/100</f>
        <v>0.9111332618</v>
      </c>
      <c r="D122" s="53">
        <f>'Macro-Economic_Demographic Data'!Y36/100</f>
        <v>0.3711701346</v>
      </c>
      <c r="E122" s="53">
        <f>'Macro-Economic_Demographic Data'!X36/100</f>
        <v>0.7241543647</v>
      </c>
    </row>
    <row r="123" ht="15.0" customHeight="1">
      <c r="B123" s="27">
        <f>'Macro-Economic_Demographic Data'!A37</f>
        <v>2028</v>
      </c>
      <c r="C123" s="53">
        <f>'Macro-Economic_Demographic Data'!Z37/100</f>
        <v>0.9249750298</v>
      </c>
      <c r="D123" s="53">
        <f>'Macro-Economic_Demographic Data'!Y37/100</f>
        <v>0.4232359369</v>
      </c>
      <c r="E123" s="53">
        <f>'Macro-Economic_Demographic Data'!X37/100</f>
        <v>0.7552292569</v>
      </c>
    </row>
    <row r="124" ht="15.0" customHeight="1">
      <c r="B124" s="27">
        <f>'Macro-Economic_Demographic Data'!A38</f>
        <v>2029</v>
      </c>
      <c r="C124" s="53">
        <f>'Macro-Economic_Demographic Data'!Z38/100</f>
        <v>0.936810345</v>
      </c>
      <c r="D124" s="53">
        <f>'Macro-Economic_Demographic Data'!Y38/100</f>
        <v>0.4770644127</v>
      </c>
      <c r="E124" s="53">
        <f>'Macro-Economic_Demographic Data'!X38/100</f>
        <v>0.7849286681</v>
      </c>
    </row>
    <row r="125" ht="15.0" customHeight="1">
      <c r="B125" s="27">
        <f>'Macro-Economic_Demographic Data'!A39</f>
        <v>2030</v>
      </c>
      <c r="C125" s="53">
        <f>'Macro-Economic_Demographic Data'!Z39/100</f>
        <v>0.9468858291</v>
      </c>
      <c r="D125" s="53">
        <f>'Macro-Economic_Demographic Data'!Y39/100</f>
        <v>0.5314309831</v>
      </c>
      <c r="E125" s="53">
        <f>'Macro-Economic_Demographic Data'!X39/100</f>
        <v>0.8129362622</v>
      </c>
    </row>
    <row r="126" ht="15.0" customHeight="1">
      <c r="B126" s="27">
        <f>'Macro-Economic_Demographic Data'!A40</f>
        <v>2031</v>
      </c>
      <c r="C126" s="53">
        <f>'Macro-Economic_Demographic Data'!Z40/100</f>
        <v>0.9554312243</v>
      </c>
      <c r="D126" s="53">
        <f>'Macro-Economic_Demographic Data'!Y40/100</f>
        <v>0.5850614966</v>
      </c>
      <c r="E126" s="53">
        <f>'Macro-Economic_Demographic Data'!X40/100</f>
        <v>0.8389555142</v>
      </c>
    </row>
    <row r="127" ht="15.0" customHeight="1">
      <c r="B127" s="27">
        <f>'Macro-Economic_Demographic Data'!A41</f>
        <v>2032</v>
      </c>
      <c r="C127" s="53">
        <f>'Macro-Economic_Demographic Data'!Z41/100</f>
        <v>0.9626559963</v>
      </c>
      <c r="D127" s="53">
        <f>'Macro-Economic_Demographic Data'!Y41/100</f>
        <v>0.6367494301</v>
      </c>
      <c r="E127" s="53">
        <f>'Macro-Economic_Demographic Data'!X41/100</f>
        <v>0.8627444113</v>
      </c>
    </row>
    <row r="128" ht="15.0" customHeight="1">
      <c r="B128" s="27">
        <f>'Macro-Economic_Demographic Data'!A42</f>
        <v>2033</v>
      </c>
      <c r="C128" s="53">
        <f>'Macro-Economic_Demographic Data'!Z42/100</f>
        <v>0.9687479132</v>
      </c>
      <c r="D128" s="53">
        <f>'Macro-Economic_Demographic Data'!Y42/100</f>
        <v>0.6854602511</v>
      </c>
      <c r="E128" s="53">
        <f>'Macro-Economic_Demographic Data'!X42/100</f>
        <v>0.8841419735</v>
      </c>
    </row>
    <row r="129" ht="15.0" customHeight="1">
      <c r="B129" s="27">
        <f>'Macro-Economic_Demographic Data'!A43</f>
        <v>2034</v>
      </c>
      <c r="C129" s="53">
        <f>'Macro-Economic_Demographic Data'!Z43/100</f>
        <v>0.973873029</v>
      </c>
      <c r="D129" s="53">
        <f>'Macro-Economic_Demographic Data'!Y43/100</f>
        <v>0.7304046894</v>
      </c>
      <c r="E129" s="53">
        <f>'Macro-Economic_Demographic Data'!X43/100</f>
        <v>0.9030817274</v>
      </c>
    </row>
    <row r="130" ht="15.0" customHeight="1">
      <c r="B130" s="27">
        <f>'Macro-Economic_Demographic Data'!A44</f>
        <v>2035</v>
      </c>
      <c r="C130" s="53">
        <f>'Macro-Economic_Demographic Data'!Z44/100</f>
        <v>0.9781765968</v>
      </c>
      <c r="D130" s="53">
        <f>'Macro-Economic_Demographic Data'!Y44/100</f>
        <v>0.7710718698</v>
      </c>
      <c r="E130" s="53">
        <f>'Macro-Economic_Demographic Data'!X44/100</f>
        <v>0.9195910571</v>
      </c>
    </row>
    <row r="131" ht="15.0" customHeight="1">
      <c r="B131" s="27">
        <f>'Macro-Economic_Demographic Data'!A45</f>
        <v>2036</v>
      </c>
      <c r="C131" s="53">
        <f>'Macro-Economic_Demographic Data'!Z45/100</f>
        <v>0.9817845508</v>
      </c>
      <c r="D131" s="53">
        <f>'Macro-Economic_Demographic Data'!Y45/100</f>
        <v>0.8072236691</v>
      </c>
      <c r="E131" s="53">
        <f>'Macro-Economic_Demographic Data'!X45/100</f>
        <v>0.9337788278</v>
      </c>
    </row>
    <row r="132" ht="15.0" customHeight="1">
      <c r="B132" s="27">
        <f>'Macro-Economic_Demographic Data'!A46</f>
        <v>2037</v>
      </c>
      <c r="C132" s="53">
        <f>'Macro-Economic_Demographic Data'!Z46/100</f>
        <v>0.9848052854</v>
      </c>
      <c r="D132" s="53">
        <f>'Macro-Economic_Demographic Data'!Y46/100</f>
        <v>0.8388595424</v>
      </c>
      <c r="E132" s="53">
        <f>'Macro-Economic_Demographic Data'!X46/100</f>
        <v>0.9458157277</v>
      </c>
    </row>
    <row r="133" ht="15.0" customHeight="1">
      <c r="B133" s="27">
        <f>'Macro-Economic_Demographic Data'!A47</f>
        <v>2038</v>
      </c>
      <c r="C133" s="53">
        <f>'Macro-Economic_Demographic Data'!Z47/100</f>
        <v>0.9873315444</v>
      </c>
      <c r="D133" s="53">
        <f>'Macro-Economic_Demographic Data'!Y47/100</f>
        <v>0.8661645218</v>
      </c>
      <c r="E133" s="53">
        <f>'Macro-Economic_Demographic Data'!X47/100</f>
        <v>0.9559121222</v>
      </c>
    </row>
    <row r="134" ht="15.0" customHeight="1">
      <c r="B134" s="27">
        <f>'Macro-Economic_Demographic Data'!A48</f>
        <v>2039</v>
      </c>
      <c r="C134" s="53">
        <f>'Macro-Economic_Demographic Data'!Z48/100</f>
        <v>0.9894422928</v>
      </c>
      <c r="D134" s="53">
        <f>'Macro-Economic_Demographic Data'!Y48/100</f>
        <v>0.8894524503</v>
      </c>
      <c r="E134" s="53">
        <f>'Macro-Economic_Demographic Data'!X48/100</f>
        <v>0.9642972781</v>
      </c>
    </row>
    <row r="135" ht="15.0" customHeight="1">
      <c r="B135" s="27">
        <f>'Macro-Economic_Demographic Data'!A49</f>
        <v>2040</v>
      </c>
      <c r="C135" s="53">
        <f>'Macro-Economic_Demographic Data'!Z49/100</f>
        <v>0.9912044928</v>
      </c>
      <c r="D135" s="53">
        <f>'Macro-Economic_Demographic Data'!Y49/100</f>
        <v>0.9091133795</v>
      </c>
      <c r="E135" s="53">
        <f>'Macro-Economic_Demographic Data'!X49/100</f>
        <v>0.9712023209</v>
      </c>
    </row>
    <row r="136" ht="15.0" customHeight="1">
      <c r="B136" s="27">
        <f>'Macro-Economic_Demographic Data'!A50</f>
        <v>2041</v>
      </c>
      <c r="C136" s="53">
        <f>'Macro-Economic_Demographic Data'!Z50/100</f>
        <v>0.9926747394</v>
      </c>
      <c r="D136" s="53">
        <f>'Macro-Economic_Demographic Data'!Y50/100</f>
        <v>0.9255702098</v>
      </c>
      <c r="E136" s="53">
        <f>'Macro-Economic_Demographic Data'!X50/100</f>
        <v>0.9768478401</v>
      </c>
    </row>
    <row r="137" ht="15.0" customHeight="1">
      <c r="B137" s="27">
        <f>'Macro-Economic_Demographic Data'!A51</f>
        <v>2042</v>
      </c>
      <c r="C137" s="53">
        <f>'Macro-Economic_Demographic Data'!Z51/100</f>
        <v>0.9939007336</v>
      </c>
      <c r="D137" s="53">
        <f>'Macro-Economic_Demographic Data'!Y51/100</f>
        <v>0.9392463384</v>
      </c>
      <c r="E137" s="53">
        <f>'Macro-Economic_Demographic Data'!X51/100</f>
        <v>0.9814360026</v>
      </c>
    </row>
    <row r="138" ht="15.0" customHeight="1">
      <c r="B138" s="27">
        <f>'Macro-Economic_Demographic Data'!A52</f>
        <v>2043</v>
      </c>
      <c r="C138" s="53">
        <f>'Macro-Economic_Demographic Data'!Z52/100</f>
        <v>0.9949225884</v>
      </c>
      <c r="D138" s="53">
        <f>'Macro-Economic_Demographic Data'!Y52/100</f>
        <v>0.9505438154</v>
      </c>
      <c r="E138" s="53">
        <f>'Macro-Economic_Demographic Data'!X52/100</f>
        <v>0.9851464389</v>
      </c>
    </row>
    <row r="139" ht="15.0" customHeight="1">
      <c r="B139" s="27">
        <f>'Macro-Economic_Demographic Data'!A53</f>
        <v>2044</v>
      </c>
      <c r="C139" s="53">
        <f>'Macro-Economic_Demographic Data'!Z53/100</f>
        <v>1</v>
      </c>
      <c r="D139" s="53">
        <f>'Macro-Economic_Demographic Data'!Y53/100</f>
        <v>0.9598303128</v>
      </c>
      <c r="E139" s="53">
        <f>'Macro-Economic_Demographic Data'!X53/100</f>
        <v>0.9914628364</v>
      </c>
    </row>
    <row r="140" ht="15.0" customHeight="1">
      <c r="B140" s="27">
        <f>'Macro-Economic_Demographic Data'!A54</f>
        <v>2045</v>
      </c>
      <c r="C140" s="53">
        <f>'Macro-Economic_Demographic Data'!Z54/100</f>
        <v>1</v>
      </c>
      <c r="D140" s="53">
        <f>'Macro-Economic_Demographic Data'!Y54/100</f>
        <v>0.9674328075</v>
      </c>
      <c r="E140" s="53">
        <f>'Macro-Economic_Demographic Data'!X54/100</f>
        <v>0.9933308671</v>
      </c>
    </row>
    <row r="141" ht="15.0" customHeight="1">
      <c r="B141" s="27">
        <f>'Macro-Economic_Demographic Data'!A55</f>
        <v>2046</v>
      </c>
      <c r="C141" s="53">
        <f>'Macro-Economic_Demographic Data'!Z55/100</f>
        <v>1</v>
      </c>
      <c r="D141" s="53">
        <f>'Macro-Economic_Demographic Data'!Y55/100</f>
        <v>0.9736359792</v>
      </c>
      <c r="E141" s="53">
        <f>'Macro-Economic_Demographic Data'!X55/100</f>
        <v>0.9948050046</v>
      </c>
    </row>
    <row r="142" ht="15.0" customHeight="1">
      <c r="B142" s="27">
        <f>'Macro-Economic_Demographic Data'!A56</f>
        <v>2047</v>
      </c>
      <c r="C142" s="53">
        <f>'Macro-Economic_Demographic Data'!Z56/100</f>
        <v>1</v>
      </c>
      <c r="D142" s="53">
        <f>'Macro-Economic_Demographic Data'!Y56/100</f>
        <v>0.978683648</v>
      </c>
      <c r="E142" s="53">
        <f>'Macro-Economic_Demographic Data'!X56/100</f>
        <v>0.9959641407</v>
      </c>
    </row>
    <row r="143" ht="15.0" customHeight="1">
      <c r="B143" s="27">
        <f>'Macro-Economic_Demographic Data'!A57</f>
        <v>2048</v>
      </c>
      <c r="C143" s="53">
        <f>'Macro-Economic_Demographic Data'!Z57/100</f>
        <v>1</v>
      </c>
      <c r="D143" s="53">
        <f>'Macro-Economic_Demographic Data'!Y57/100</f>
        <v>0.9827819781</v>
      </c>
      <c r="E143" s="53">
        <f>'Macro-Economic_Demographic Data'!X57/100</f>
        <v>0.9968726954</v>
      </c>
    </row>
    <row r="144" ht="15.0" customHeight="1">
      <c r="B144" s="27">
        <f>'Macro-Economic_Demographic Data'!A58</f>
        <v>2049</v>
      </c>
      <c r="C144" s="53">
        <f>'Macro-Economic_Demographic Data'!Z58/100</f>
        <v>1</v>
      </c>
      <c r="D144" s="53">
        <f>'Macro-Economic_Demographic Data'!Y58/100</f>
        <v>0.9861035422</v>
      </c>
      <c r="E144" s="53">
        <f>'Macro-Economic_Demographic Data'!X58/100</f>
        <v>0.9975828053</v>
      </c>
    </row>
    <row r="145" ht="15.0" customHeight="1">
      <c r="B145" s="27">
        <f>'Macro-Economic_Demographic Data'!A59</f>
        <v>2050</v>
      </c>
      <c r="C145" s="53">
        <f>'Macro-Economic_Demographic Data'!Z59/100</f>
        <v>1</v>
      </c>
      <c r="D145" s="53">
        <f>'Macro-Economic_Demographic Data'!Y59/100</f>
        <v>0.9887916444</v>
      </c>
      <c r="E145" s="53">
        <f>'Macro-Economic_Demographic Data'!X59/100</f>
        <v>0.9981363611</v>
      </c>
    </row>
    <row r="146" ht="15.0" customHeight="1">
      <c r="B146" s="27">
        <f>'Macro-Economic_Demographic Data'!A60</f>
        <v>2051</v>
      </c>
      <c r="C146" s="53">
        <f>'Macro-Economic_Demographic Data'!Z60/100</f>
        <v>1</v>
      </c>
      <c r="D146" s="53">
        <f>'Macro-Economic_Demographic Data'!Y60/100</f>
        <v>0.9909645301</v>
      </c>
      <c r="E146" s="53">
        <f>'Macro-Economic_Demographic Data'!X60/100</f>
        <v>0.9986007379</v>
      </c>
    </row>
    <row r="147" ht="15.0" customHeight="1">
      <c r="B147" s="27">
        <f>'Macro-Economic_Demographic Data'!A61</f>
        <v>2052</v>
      </c>
      <c r="C147" s="53">
        <f>'Macro-Economic_Demographic Data'!Z61/100</f>
        <v>1</v>
      </c>
      <c r="D147" s="53">
        <f>'Macro-Economic_Demographic Data'!Y61/100</f>
        <v>0.9927192753</v>
      </c>
      <c r="E147" s="53">
        <f>'Macro-Economic_Demographic Data'!X61/100</f>
        <v>0.9989310148</v>
      </c>
    </row>
    <row r="148" ht="15.0" customHeight="1">
      <c r="B148" s="27">
        <f>'Macro-Economic_Demographic Data'!A62</f>
        <v>2053</v>
      </c>
      <c r="C148" s="53">
        <f>'Macro-Economic_Demographic Data'!Z62/100</f>
        <v>1</v>
      </c>
      <c r="D148" s="53">
        <f>'Macro-Economic_Demographic Data'!Y62/100</f>
        <v>0.9941352548</v>
      </c>
      <c r="E148" s="53">
        <f>'Macro-Economic_Demographic Data'!X62/100</f>
        <v>0.9991860626</v>
      </c>
    </row>
    <row r="149" ht="15.0" customHeight="1">
      <c r="B149" s="27">
        <f>'Macro-Economic_Demographic Data'!A63</f>
        <v>2054</v>
      </c>
      <c r="C149" s="53">
        <f>'Macro-Economic_Demographic Data'!Z63/100</f>
        <v>1</v>
      </c>
      <c r="D149" s="53">
        <f>'Macro-Economic_Demographic Data'!Y63/100</f>
        <v>1</v>
      </c>
      <c r="E149" s="53">
        <f>'Macro-Economic_Demographic Data'!X63/100</f>
        <v>1</v>
      </c>
    </row>
    <row r="150" ht="15.0" customHeight="1">
      <c r="B150" s="27">
        <f>'Macro-Economic_Demographic Data'!A64</f>
        <v>2055</v>
      </c>
      <c r="C150" s="53">
        <f>'Macro-Economic_Demographic Data'!Z64/100</f>
        <v>1</v>
      </c>
      <c r="D150" s="53">
        <f>'Macro-Economic_Demographic Data'!Y64/100</f>
        <v>1</v>
      </c>
      <c r="E150" s="53">
        <f>'Macro-Economic_Demographic Data'!X64/100</f>
        <v>1</v>
      </c>
    </row>
    <row r="151" ht="15.0" customHeight="1">
      <c r="B151" s="27">
        <f>'Macro-Economic_Demographic Data'!A65</f>
        <v>2056</v>
      </c>
      <c r="C151" s="53">
        <f>'Macro-Economic_Demographic Data'!Z65/100</f>
        <v>1</v>
      </c>
      <c r="D151" s="53">
        <f>'Macro-Economic_Demographic Data'!Y65/100</f>
        <v>1</v>
      </c>
      <c r="E151" s="53">
        <f>'Macro-Economic_Demographic Data'!X65/100</f>
        <v>1</v>
      </c>
    </row>
    <row r="152" ht="15.0" customHeight="1">
      <c r="B152" s="27">
        <f>'Macro-Economic_Demographic Data'!A66</f>
        <v>2057</v>
      </c>
      <c r="C152" s="53">
        <f>'Macro-Economic_Demographic Data'!Z66/100</f>
        <v>1</v>
      </c>
      <c r="D152" s="53">
        <f>'Macro-Economic_Demographic Data'!Y66/100</f>
        <v>1</v>
      </c>
      <c r="E152" s="53">
        <f>'Macro-Economic_Demographic Data'!X66/100</f>
        <v>1</v>
      </c>
    </row>
    <row r="153" ht="15.0" customHeight="1">
      <c r="B153" s="27">
        <f>'Macro-Economic_Demographic Data'!A67</f>
        <v>2058</v>
      </c>
      <c r="C153" s="53">
        <f>'Macro-Economic_Demographic Data'!Z67/100</f>
        <v>1</v>
      </c>
      <c r="D153" s="53">
        <f>'Macro-Economic_Demographic Data'!Y67/100</f>
        <v>1</v>
      </c>
      <c r="E153" s="53">
        <f>'Macro-Economic_Demographic Data'!X67/100</f>
        <v>1</v>
      </c>
    </row>
    <row r="154" ht="15.0" customHeight="1">
      <c r="B154" s="27">
        <f>'Macro-Economic_Demographic Data'!A68</f>
        <v>2059</v>
      </c>
      <c r="C154" s="53">
        <f>'Macro-Economic_Demographic Data'!Z68/100</f>
        <v>1</v>
      </c>
      <c r="D154" s="53">
        <f>'Macro-Economic_Demographic Data'!Y68/100</f>
        <v>1</v>
      </c>
      <c r="E154" s="53">
        <f>'Macro-Economic_Demographic Data'!X68/100</f>
        <v>1</v>
      </c>
    </row>
    <row r="155" ht="15.0" customHeight="1">
      <c r="B155" s="27">
        <f>'Macro-Economic_Demographic Data'!A69</f>
        <v>2060</v>
      </c>
      <c r="C155" s="53">
        <f>'Macro-Economic_Demographic Data'!Z69/100</f>
        <v>1</v>
      </c>
      <c r="D155" s="53">
        <f>'Macro-Economic_Demographic Data'!Y69/100</f>
        <v>1</v>
      </c>
      <c r="E155" s="53">
        <f>'Macro-Economic_Demographic Data'!X69/100</f>
        <v>1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4:J8"/>
    <mergeCell ref="J21:Q27"/>
    <mergeCell ref="J31:Q31"/>
    <mergeCell ref="J32:Q32"/>
    <mergeCell ref="J33:Q33"/>
    <mergeCell ref="J34:Q34"/>
    <mergeCell ref="J38:O38"/>
    <mergeCell ref="S40:AA45"/>
    <mergeCell ref="S68:AB75"/>
    <mergeCell ref="J39:O39"/>
    <mergeCell ref="J40:O40"/>
    <mergeCell ref="J41:O41"/>
    <mergeCell ref="J42:O42"/>
    <mergeCell ref="J43:O43"/>
    <mergeCell ref="J44:O44"/>
    <mergeCell ref="J47:Q5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6.0"/>
    <col customWidth="1" min="3" max="3" width="13.0"/>
    <col customWidth="1" min="4" max="4" width="15.0"/>
    <col customWidth="1" min="5" max="7" width="11.0"/>
    <col customWidth="1" min="8" max="9" width="8.63"/>
    <col customWidth="1" min="10" max="10" width="40.0"/>
    <col customWidth="1" min="11" max="11" width="12.0"/>
    <col customWidth="1" min="12" max="26" width="8.63"/>
  </cols>
  <sheetData>
    <row r="2" ht="17.25" customHeight="1">
      <c r="B2" s="1" t="s">
        <v>1</v>
      </c>
    </row>
    <row r="4" ht="15.0" customHeight="1">
      <c r="B4" s="5" t="s">
        <v>3</v>
      </c>
      <c r="C4" s="8"/>
      <c r="D4" s="8"/>
      <c r="E4" s="8"/>
      <c r="F4" s="8"/>
      <c r="G4" s="8"/>
      <c r="H4" s="8"/>
      <c r="I4" s="8"/>
      <c r="J4" s="8"/>
      <c r="K4" s="10"/>
    </row>
    <row r="5" ht="15.0" customHeight="1">
      <c r="B5" s="11"/>
      <c r="K5" s="12"/>
    </row>
    <row r="6" ht="15.0" customHeight="1">
      <c r="B6" s="11"/>
      <c r="K6" s="12"/>
    </row>
    <row r="7" ht="15.0" customHeight="1">
      <c r="B7" s="11"/>
      <c r="K7" s="12"/>
    </row>
    <row r="8" ht="15.0" customHeight="1">
      <c r="B8" s="11"/>
      <c r="K8" s="12"/>
    </row>
    <row r="9" ht="15.0" customHeight="1">
      <c r="B9" s="11"/>
      <c r="K9" s="12"/>
    </row>
    <row r="10" ht="15.0" customHeight="1">
      <c r="B10" s="14"/>
      <c r="C10" s="15"/>
      <c r="D10" s="15"/>
      <c r="E10" s="15"/>
      <c r="F10" s="15"/>
      <c r="G10" s="15"/>
      <c r="H10" s="15"/>
      <c r="I10" s="15"/>
      <c r="J10" s="15"/>
      <c r="K10" s="17"/>
    </row>
    <row r="13" ht="66.0" customHeight="1">
      <c r="B13" s="18" t="s">
        <v>25</v>
      </c>
      <c r="C13" s="18" t="s">
        <v>29</v>
      </c>
      <c r="D13" s="18" t="s">
        <v>30</v>
      </c>
      <c r="E13" s="18" t="s">
        <v>31</v>
      </c>
      <c r="F13" s="18" t="s">
        <v>32</v>
      </c>
      <c r="G13" s="18" t="s">
        <v>33</v>
      </c>
      <c r="J13" s="21" t="s">
        <v>34</v>
      </c>
    </row>
    <row r="14" ht="15.0" customHeight="1">
      <c r="B14" s="22" t="s">
        <v>35</v>
      </c>
      <c r="C14" s="23">
        <v>99.94</v>
      </c>
      <c r="D14" s="24">
        <v>12105.93</v>
      </c>
      <c r="E14" s="29">
        <f t="shared" ref="E14:E83" si="1">MIN(C14/100,0.995)</f>
        <v>0.995</v>
      </c>
      <c r="F14" s="34">
        <f t="shared" ref="F14:F83" si="2">LN(E14/(1-E14))</f>
        <v>5.293304825</v>
      </c>
      <c r="G14" s="34">
        <f t="shared" ref="G14:G83" si="3">LN(D14)</f>
        <v>9.401450694</v>
      </c>
      <c r="J14" s="22" t="s">
        <v>38</v>
      </c>
      <c r="K14" s="38">
        <f>SLOPE(F14:F83,G14:G83)</f>
        <v>1.187527739</v>
      </c>
    </row>
    <row r="15" ht="15.0" customHeight="1">
      <c r="B15" s="22" t="s">
        <v>39</v>
      </c>
      <c r="C15" s="23">
        <v>99.88</v>
      </c>
      <c r="D15" s="24">
        <v>3834.44</v>
      </c>
      <c r="E15" s="29">
        <f t="shared" si="1"/>
        <v>0.995</v>
      </c>
      <c r="F15" s="34">
        <f t="shared" si="2"/>
        <v>5.293304825</v>
      </c>
      <c r="G15" s="34">
        <f t="shared" si="3"/>
        <v>8.25177868</v>
      </c>
      <c r="J15" s="22" t="s">
        <v>40</v>
      </c>
      <c r="K15" s="38">
        <f>INTERCEPT(F14:F83,G14:G83)</f>
        <v>-6.388354149</v>
      </c>
    </row>
    <row r="16" ht="15.0" customHeight="1">
      <c r="B16" s="22" t="s">
        <v>41</v>
      </c>
      <c r="C16" s="23">
        <v>99.8</v>
      </c>
      <c r="D16" s="24">
        <v>7920.91</v>
      </c>
      <c r="E16" s="29">
        <f t="shared" si="1"/>
        <v>0.995</v>
      </c>
      <c r="F16" s="34">
        <f t="shared" si="2"/>
        <v>5.293304825</v>
      </c>
      <c r="G16" s="34">
        <f t="shared" si="3"/>
        <v>8.977261377</v>
      </c>
      <c r="J16" s="22" t="s">
        <v>42</v>
      </c>
      <c r="K16" s="38">
        <f>RSQ(F14:F83,G14:G83)</f>
        <v>0.4121283711</v>
      </c>
    </row>
    <row r="17" ht="15.0" customHeight="1">
      <c r="B17" s="22" t="s">
        <v>43</v>
      </c>
      <c r="C17" s="23">
        <v>99.8</v>
      </c>
      <c r="D17" s="24">
        <v>8909.68</v>
      </c>
      <c r="E17" s="29">
        <f t="shared" si="1"/>
        <v>0.995</v>
      </c>
      <c r="F17" s="34">
        <f t="shared" si="2"/>
        <v>5.293304825</v>
      </c>
      <c r="G17" s="34">
        <f t="shared" si="3"/>
        <v>9.094893605</v>
      </c>
      <c r="J17" s="22" t="s">
        <v>44</v>
      </c>
      <c r="K17" s="24">
        <v>2396.04</v>
      </c>
    </row>
    <row r="18" ht="15.0" customHeight="1">
      <c r="B18" s="22" t="s">
        <v>45</v>
      </c>
      <c r="C18" s="23">
        <v>99.72</v>
      </c>
      <c r="D18" s="24">
        <v>1255.04</v>
      </c>
      <c r="E18" s="29">
        <f t="shared" si="1"/>
        <v>0.995</v>
      </c>
      <c r="F18" s="34">
        <f t="shared" si="2"/>
        <v>5.293304825</v>
      </c>
      <c r="G18" s="34">
        <f t="shared" si="3"/>
        <v>7.134922724</v>
      </c>
      <c r="J18" s="22" t="s">
        <v>46</v>
      </c>
      <c r="K18" s="38">
        <f>'Macro-Economic_Demographic Data'!P29/K17</f>
        <v>0.9400615549</v>
      </c>
    </row>
    <row r="19" ht="15.0" customHeight="1">
      <c r="B19" s="22" t="s">
        <v>49</v>
      </c>
      <c r="C19" s="23">
        <v>99.7</v>
      </c>
      <c r="D19" s="24">
        <v>4126.7</v>
      </c>
      <c r="E19" s="29">
        <f t="shared" si="1"/>
        <v>0.995</v>
      </c>
      <c r="F19" s="34">
        <f t="shared" si="2"/>
        <v>5.293304825</v>
      </c>
      <c r="G19" s="34">
        <f t="shared" si="3"/>
        <v>8.325233335</v>
      </c>
      <c r="J19" s="22" t="s">
        <v>54</v>
      </c>
      <c r="K19" s="38">
        <f>LN('Macro-Economic_Demographic Data'!P33/K18)</f>
        <v>7.823516289</v>
      </c>
    </row>
    <row r="20" ht="15.0" customHeight="1">
      <c r="B20" s="22" t="s">
        <v>55</v>
      </c>
      <c r="C20" s="23">
        <v>99.69</v>
      </c>
      <c r="D20" s="24">
        <v>12172.31</v>
      </c>
      <c r="E20" s="29">
        <f t="shared" si="1"/>
        <v>0.995</v>
      </c>
      <c r="F20" s="34">
        <f t="shared" si="2"/>
        <v>5.293304825</v>
      </c>
      <c r="G20" s="34">
        <f t="shared" si="3"/>
        <v>9.406918979</v>
      </c>
      <c r="J20" s="22" t="s">
        <v>56</v>
      </c>
      <c r="K20" s="38">
        <f>K15+K14*K19</f>
        <v>2.902288461</v>
      </c>
    </row>
    <row r="21" ht="15.0" customHeight="1">
      <c r="B21" s="22" t="s">
        <v>57</v>
      </c>
      <c r="C21" s="23">
        <v>99.66</v>
      </c>
      <c r="D21" s="24">
        <v>5317.68</v>
      </c>
      <c r="E21" s="29">
        <f t="shared" si="1"/>
        <v>0.995</v>
      </c>
      <c r="F21" s="34">
        <f t="shared" si="2"/>
        <v>5.293304825</v>
      </c>
      <c r="G21" s="34">
        <f t="shared" si="3"/>
        <v>8.578792397</v>
      </c>
      <c r="J21" s="22" t="s">
        <v>58</v>
      </c>
      <c r="K21" s="38">
        <f>LN('Macro-Economic_Demographic Data'!Z33/100/(1-'Macro-Economic_Demographic Data'!Z33/100))</f>
        <v>1.774367727</v>
      </c>
    </row>
    <row r="22" ht="15.0" customHeight="1">
      <c r="B22" s="22" t="s">
        <v>59</v>
      </c>
      <c r="C22" s="23">
        <v>99.6</v>
      </c>
      <c r="D22" s="24">
        <v>3756.91</v>
      </c>
      <c r="E22" s="29">
        <f t="shared" si="1"/>
        <v>0.995</v>
      </c>
      <c r="F22" s="34">
        <f t="shared" si="2"/>
        <v>5.293304825</v>
      </c>
      <c r="G22" s="34">
        <f t="shared" si="3"/>
        <v>8.23135209</v>
      </c>
      <c r="J22" s="22" t="s">
        <v>61</v>
      </c>
      <c r="K22" s="38">
        <f>K21-K20</f>
        <v>-1.127920734</v>
      </c>
    </row>
    <row r="23" ht="15.0" customHeight="1">
      <c r="B23" s="22" t="s">
        <v>62</v>
      </c>
      <c r="C23" s="23">
        <v>99.5</v>
      </c>
      <c r="D23" s="24">
        <v>1100.04</v>
      </c>
      <c r="E23" s="29">
        <f t="shared" si="1"/>
        <v>0.995</v>
      </c>
      <c r="F23" s="34">
        <f t="shared" si="2"/>
        <v>5.293304825</v>
      </c>
      <c r="G23" s="34">
        <f t="shared" si="3"/>
        <v>7.003101822</v>
      </c>
      <c r="J23" s="22" t="s">
        <v>63</v>
      </c>
      <c r="K23" s="47">
        <v>12.0</v>
      </c>
    </row>
    <row r="24" ht="15.0" customHeight="1">
      <c r="B24" s="22" t="s">
        <v>64</v>
      </c>
      <c r="C24" s="23">
        <v>99.5</v>
      </c>
      <c r="D24" s="24">
        <v>529.74</v>
      </c>
      <c r="E24" s="29">
        <f t="shared" si="1"/>
        <v>0.995</v>
      </c>
      <c r="F24" s="34">
        <f t="shared" si="2"/>
        <v>5.293304825</v>
      </c>
      <c r="G24" s="34">
        <f t="shared" si="3"/>
        <v>6.27238632</v>
      </c>
      <c r="J24" s="22" t="s">
        <v>65</v>
      </c>
      <c r="K24" s="49">
        <v>0.99</v>
      </c>
    </row>
    <row r="25" ht="15.0" customHeight="1">
      <c r="B25" s="22" t="s">
        <v>66</v>
      </c>
      <c r="C25" s="23">
        <v>99.41</v>
      </c>
      <c r="D25" s="24">
        <v>9058.21</v>
      </c>
      <c r="E25" s="29">
        <f t="shared" si="1"/>
        <v>0.9941</v>
      </c>
      <c r="F25" s="34">
        <f t="shared" si="2"/>
        <v>5.126885454</v>
      </c>
      <c r="G25" s="34">
        <f t="shared" si="3"/>
        <v>9.111426808</v>
      </c>
    </row>
    <row r="26" ht="15.0" customHeight="1">
      <c r="B26" s="22" t="s">
        <v>67</v>
      </c>
      <c r="C26" s="23">
        <v>99.05</v>
      </c>
      <c r="D26" s="24">
        <v>1199.06</v>
      </c>
      <c r="E26" s="29">
        <f t="shared" si="1"/>
        <v>0.9905</v>
      </c>
      <c r="F26" s="34">
        <f t="shared" si="2"/>
        <v>4.646918068</v>
      </c>
      <c r="G26" s="34">
        <f t="shared" si="3"/>
        <v>7.089293195</v>
      </c>
      <c r="J26" s="5" t="s">
        <v>68</v>
      </c>
      <c r="K26" s="8"/>
      <c r="L26" s="8"/>
      <c r="M26" s="8"/>
      <c r="N26" s="8"/>
      <c r="O26" s="8"/>
      <c r="P26" s="8"/>
      <c r="Q26" s="10"/>
    </row>
    <row r="27" ht="15.0" customHeight="1">
      <c r="B27" s="22" t="s">
        <v>70</v>
      </c>
      <c r="C27" s="23">
        <v>98.98</v>
      </c>
      <c r="D27" s="24">
        <v>7529.61</v>
      </c>
      <c r="E27" s="29">
        <f t="shared" si="1"/>
        <v>0.9898</v>
      </c>
      <c r="F27" s="34">
        <f t="shared" si="2"/>
        <v>4.575115182</v>
      </c>
      <c r="G27" s="34">
        <f t="shared" si="3"/>
        <v>8.926598527</v>
      </c>
      <c r="J27" s="11"/>
      <c r="Q27" s="12"/>
    </row>
    <row r="28" ht="15.0" customHeight="1">
      <c r="B28" s="22" t="s">
        <v>71</v>
      </c>
      <c r="C28" s="23">
        <v>98.59</v>
      </c>
      <c r="D28" s="24">
        <v>6818.5</v>
      </c>
      <c r="E28" s="29">
        <f t="shared" si="1"/>
        <v>0.9859</v>
      </c>
      <c r="F28" s="34">
        <f t="shared" si="2"/>
        <v>4.247380132</v>
      </c>
      <c r="G28" s="34">
        <f t="shared" si="3"/>
        <v>8.827394785</v>
      </c>
      <c r="J28" s="11"/>
      <c r="Q28" s="12"/>
    </row>
    <row r="29" ht="15.0" customHeight="1">
      <c r="B29" s="22" t="s">
        <v>72</v>
      </c>
      <c r="C29" s="23">
        <v>98.33</v>
      </c>
      <c r="D29" s="24">
        <v>3968.49</v>
      </c>
      <c r="E29" s="29">
        <f t="shared" si="1"/>
        <v>0.9833</v>
      </c>
      <c r="F29" s="34">
        <f t="shared" si="2"/>
        <v>4.075505542</v>
      </c>
      <c r="G29" s="34">
        <f t="shared" si="3"/>
        <v>8.286140949</v>
      </c>
      <c r="J29" s="11"/>
      <c r="Q29" s="12"/>
    </row>
    <row r="30" ht="15.0" customHeight="1">
      <c r="B30" s="22" t="s">
        <v>73</v>
      </c>
      <c r="C30" s="23">
        <v>98.23</v>
      </c>
      <c r="D30" s="24">
        <v>3269.67</v>
      </c>
      <c r="E30" s="29">
        <f t="shared" si="1"/>
        <v>0.9823</v>
      </c>
      <c r="F30" s="34">
        <f t="shared" si="2"/>
        <v>4.016332121</v>
      </c>
      <c r="G30" s="34">
        <f t="shared" si="3"/>
        <v>8.092444341</v>
      </c>
      <c r="J30" s="11"/>
      <c r="Q30" s="12"/>
    </row>
    <row r="31" ht="15.0" customHeight="1">
      <c r="B31" s="22" t="s">
        <v>74</v>
      </c>
      <c r="C31" s="23">
        <v>97.8</v>
      </c>
      <c r="D31" s="24">
        <v>1643.67</v>
      </c>
      <c r="E31" s="29">
        <f t="shared" si="1"/>
        <v>0.978</v>
      </c>
      <c r="F31" s="34">
        <f t="shared" si="2"/>
        <v>3.794467217</v>
      </c>
      <c r="G31" s="34">
        <f t="shared" si="3"/>
        <v>7.404686826</v>
      </c>
      <c r="J31" s="14"/>
      <c r="K31" s="15"/>
      <c r="L31" s="15"/>
      <c r="M31" s="15"/>
      <c r="N31" s="15"/>
      <c r="O31" s="15"/>
      <c r="P31" s="15"/>
      <c r="Q31" s="17"/>
    </row>
    <row r="32" ht="15.0" customHeight="1">
      <c r="B32" s="22" t="s">
        <v>75</v>
      </c>
      <c r="C32" s="23">
        <v>97.46</v>
      </c>
      <c r="D32" s="24">
        <v>4126.21</v>
      </c>
      <c r="E32" s="29">
        <f t="shared" si="1"/>
        <v>0.9746</v>
      </c>
      <c r="F32" s="34">
        <f t="shared" si="2"/>
        <v>3.647277956</v>
      </c>
      <c r="G32" s="34">
        <f t="shared" si="3"/>
        <v>8.325114589</v>
      </c>
    </row>
    <row r="33" ht="15.0" customHeight="1">
      <c r="B33" s="22" t="s">
        <v>78</v>
      </c>
      <c r="C33" s="23">
        <v>97.3</v>
      </c>
      <c r="D33" s="24">
        <v>1376.41</v>
      </c>
      <c r="E33" s="29">
        <f t="shared" si="1"/>
        <v>0.973</v>
      </c>
      <c r="F33" s="34">
        <f t="shared" si="2"/>
        <v>3.584547216</v>
      </c>
      <c r="G33" s="34">
        <f t="shared" si="3"/>
        <v>7.227233939</v>
      </c>
    </row>
    <row r="34" ht="15.0" customHeight="1">
      <c r="B34" s="22" t="s">
        <v>80</v>
      </c>
      <c r="C34" s="23">
        <v>96.9</v>
      </c>
      <c r="D34" s="24">
        <v>9250.3</v>
      </c>
      <c r="E34" s="29">
        <f t="shared" si="1"/>
        <v>0.969</v>
      </c>
      <c r="F34" s="34">
        <f t="shared" si="2"/>
        <v>3.442277407</v>
      </c>
      <c r="G34" s="34">
        <f t="shared" si="3"/>
        <v>9.132411262</v>
      </c>
    </row>
    <row r="35" ht="15.0" customHeight="1">
      <c r="B35" s="22" t="s">
        <v>81</v>
      </c>
      <c r="C35" s="23">
        <v>95.59</v>
      </c>
      <c r="D35" s="24">
        <v>2638.89</v>
      </c>
      <c r="E35" s="29">
        <f t="shared" si="1"/>
        <v>0.9559</v>
      </c>
      <c r="F35" s="34">
        <f t="shared" si="2"/>
        <v>3.076193523</v>
      </c>
      <c r="G35" s="34">
        <f t="shared" si="3"/>
        <v>7.878113653</v>
      </c>
    </row>
    <row r="36" ht="15.0" customHeight="1">
      <c r="B36" s="22" t="s">
        <v>82</v>
      </c>
      <c r="C36" s="23">
        <v>95.18</v>
      </c>
      <c r="D36" s="24">
        <v>1364.84</v>
      </c>
      <c r="E36" s="29">
        <f t="shared" si="1"/>
        <v>0.9518</v>
      </c>
      <c r="F36" s="34">
        <f t="shared" si="2"/>
        <v>2.982995908</v>
      </c>
      <c r="G36" s="34">
        <f t="shared" si="3"/>
        <v>7.218792485</v>
      </c>
    </row>
    <row r="37" ht="15.0" customHeight="1">
      <c r="B37" s="22" t="s">
        <v>86</v>
      </c>
      <c r="C37" s="23">
        <v>94.71</v>
      </c>
      <c r="D37" s="24">
        <v>2018.62</v>
      </c>
      <c r="E37" s="29">
        <f t="shared" si="1"/>
        <v>0.9471</v>
      </c>
      <c r="F37" s="34">
        <f t="shared" si="2"/>
        <v>2.885001345</v>
      </c>
      <c r="G37" s="34">
        <f t="shared" si="3"/>
        <v>7.610169389</v>
      </c>
    </row>
    <row r="38" ht="15.0" customHeight="1">
      <c r="B38" s="22" t="s">
        <v>92</v>
      </c>
      <c r="C38" s="23">
        <v>94.49</v>
      </c>
      <c r="D38" s="24">
        <v>2935.32</v>
      </c>
      <c r="E38" s="29">
        <f t="shared" si="1"/>
        <v>0.9449</v>
      </c>
      <c r="F38" s="34">
        <f t="shared" si="2"/>
        <v>2.841929386</v>
      </c>
      <c r="G38" s="34">
        <f t="shared" si="3"/>
        <v>7.984571755</v>
      </c>
    </row>
    <row r="39" ht="15.0" customHeight="1">
      <c r="B39" s="22" t="s">
        <v>94</v>
      </c>
      <c r="C39" s="23">
        <v>94.47</v>
      </c>
      <c r="D39" s="24">
        <v>2313.79</v>
      </c>
      <c r="E39" s="29">
        <f t="shared" si="1"/>
        <v>0.9447</v>
      </c>
      <c r="F39" s="34">
        <f t="shared" si="2"/>
        <v>2.838094508</v>
      </c>
      <c r="G39" s="34">
        <f t="shared" si="3"/>
        <v>7.746642152</v>
      </c>
    </row>
    <row r="40" ht="15.0" customHeight="1">
      <c r="B40" s="22" t="s">
        <v>95</v>
      </c>
      <c r="C40" s="23">
        <v>94.2</v>
      </c>
      <c r="D40" s="24">
        <v>1028.46</v>
      </c>
      <c r="E40" s="29">
        <f t="shared" si="1"/>
        <v>0.942</v>
      </c>
      <c r="F40" s="34">
        <f t="shared" si="2"/>
        <v>2.787562264</v>
      </c>
      <c r="G40" s="34">
        <f t="shared" si="3"/>
        <v>6.935817817</v>
      </c>
    </row>
    <row r="41" ht="15.0" customHeight="1">
      <c r="B41" s="22" t="s">
        <v>96</v>
      </c>
      <c r="C41" s="23">
        <v>94.14</v>
      </c>
      <c r="D41" s="24">
        <v>626.62</v>
      </c>
      <c r="E41" s="29">
        <f t="shared" si="1"/>
        <v>0.9414</v>
      </c>
      <c r="F41" s="34">
        <f t="shared" si="2"/>
        <v>2.776633432</v>
      </c>
      <c r="G41" s="34">
        <f t="shared" si="3"/>
        <v>6.440340296</v>
      </c>
    </row>
    <row r="42" ht="15.0" customHeight="1">
      <c r="B42" s="22" t="s">
        <v>97</v>
      </c>
      <c r="C42" s="23">
        <v>94.09</v>
      </c>
      <c r="D42" s="24">
        <v>781.73</v>
      </c>
      <c r="E42" s="29">
        <f t="shared" si="1"/>
        <v>0.9409</v>
      </c>
      <c r="F42" s="34">
        <f t="shared" si="2"/>
        <v>2.76760594</v>
      </c>
      <c r="G42" s="34">
        <f t="shared" si="3"/>
        <v>6.661509412</v>
      </c>
    </row>
    <row r="43" ht="15.0" customHeight="1">
      <c r="B43" s="22" t="s">
        <v>99</v>
      </c>
      <c r="C43" s="23">
        <v>94.03</v>
      </c>
      <c r="D43" s="24">
        <v>1419.68</v>
      </c>
      <c r="E43" s="29">
        <f t="shared" si="1"/>
        <v>0.9403</v>
      </c>
      <c r="F43" s="34">
        <f t="shared" si="2"/>
        <v>2.756866953</v>
      </c>
      <c r="G43" s="34">
        <f t="shared" si="3"/>
        <v>7.258186773</v>
      </c>
    </row>
    <row r="44" ht="15.0" customHeight="1">
      <c r="B44" s="22" t="s">
        <v>100</v>
      </c>
      <c r="C44" s="23">
        <v>93.99</v>
      </c>
      <c r="D44" s="24">
        <v>1559.55</v>
      </c>
      <c r="E44" s="29">
        <f t="shared" si="1"/>
        <v>0.9399</v>
      </c>
      <c r="F44" s="34">
        <f t="shared" si="2"/>
        <v>2.749763645</v>
      </c>
      <c r="G44" s="34">
        <f t="shared" si="3"/>
        <v>7.352152597</v>
      </c>
    </row>
    <row r="45" ht="15.0" customHeight="1">
      <c r="B45" s="22" t="s">
        <v>101</v>
      </c>
      <c r="C45" s="23">
        <v>93.25</v>
      </c>
      <c r="D45" s="24">
        <v>826.95</v>
      </c>
      <c r="E45" s="29">
        <f t="shared" si="1"/>
        <v>0.9325</v>
      </c>
      <c r="F45" s="34">
        <f t="shared" si="2"/>
        <v>2.625741554</v>
      </c>
      <c r="G45" s="34">
        <f t="shared" si="3"/>
        <v>6.717744234</v>
      </c>
    </row>
    <row r="46" ht="15.0" customHeight="1">
      <c r="B46" s="22" t="s">
        <v>103</v>
      </c>
      <c r="C46" s="23">
        <v>93.03</v>
      </c>
      <c r="D46" s="24">
        <v>1586.9</v>
      </c>
      <c r="E46" s="29">
        <f t="shared" si="1"/>
        <v>0.9303</v>
      </c>
      <c r="F46" s="34">
        <f t="shared" si="2"/>
        <v>2.591306797</v>
      </c>
      <c r="G46" s="34">
        <f t="shared" si="3"/>
        <v>7.369537707</v>
      </c>
    </row>
    <row r="47" ht="15.0" customHeight="1">
      <c r="B47" s="22" t="s">
        <v>104</v>
      </c>
      <c r="C47" s="23">
        <v>92.2</v>
      </c>
      <c r="D47" s="24">
        <v>3723.3</v>
      </c>
      <c r="E47" s="29">
        <f t="shared" si="1"/>
        <v>0.922</v>
      </c>
      <c r="F47" s="34">
        <f t="shared" si="2"/>
        <v>2.469836397</v>
      </c>
      <c r="G47" s="34">
        <f t="shared" si="3"/>
        <v>8.222365651</v>
      </c>
    </row>
    <row r="48" ht="15.0" customHeight="1">
      <c r="B48" s="22" t="s">
        <v>107</v>
      </c>
      <c r="C48" s="23">
        <v>90.97</v>
      </c>
      <c r="D48" s="24">
        <v>6777.84</v>
      </c>
      <c r="E48" s="29">
        <f t="shared" si="1"/>
        <v>0.9097</v>
      </c>
      <c r="F48" s="34">
        <f t="shared" si="2"/>
        <v>2.309977414</v>
      </c>
      <c r="G48" s="34">
        <f t="shared" si="3"/>
        <v>8.821413746</v>
      </c>
    </row>
    <row r="49" ht="15.0" customHeight="1">
      <c r="B49" s="22" t="s">
        <v>108</v>
      </c>
      <c r="C49" s="23">
        <v>90.74</v>
      </c>
      <c r="D49" s="24">
        <v>6299.21</v>
      </c>
      <c r="E49" s="29">
        <f t="shared" si="1"/>
        <v>0.9074</v>
      </c>
      <c r="F49" s="34">
        <f t="shared" si="2"/>
        <v>2.282294226</v>
      </c>
      <c r="G49" s="34">
        <f t="shared" si="3"/>
        <v>8.748179508</v>
      </c>
    </row>
    <row r="50" ht="15.0" customHeight="1">
      <c r="B50" s="22" t="s">
        <v>109</v>
      </c>
      <c r="C50" s="23">
        <v>88.81</v>
      </c>
      <c r="D50" s="24">
        <v>5659.21</v>
      </c>
      <c r="E50" s="29">
        <f t="shared" si="1"/>
        <v>0.8881</v>
      </c>
      <c r="F50" s="34">
        <f t="shared" si="2"/>
        <v>2.071478734</v>
      </c>
      <c r="G50" s="34">
        <f t="shared" si="3"/>
        <v>8.641039585</v>
      </c>
    </row>
    <row r="51" ht="15.0" customHeight="1">
      <c r="B51" s="22" t="s">
        <v>110</v>
      </c>
      <c r="C51" s="23">
        <v>88.39</v>
      </c>
      <c r="D51" s="24">
        <v>1606.98</v>
      </c>
      <c r="E51" s="29">
        <f t="shared" si="1"/>
        <v>0.8839</v>
      </c>
      <c r="F51" s="34">
        <f t="shared" si="2"/>
        <v>2.029892045</v>
      </c>
      <c r="G51" s="34">
        <f t="shared" si="3"/>
        <v>7.38211192</v>
      </c>
    </row>
    <row r="52" ht="15.0" customHeight="1">
      <c r="B52" s="22" t="s">
        <v>114</v>
      </c>
      <c r="C52" s="23">
        <v>88.37</v>
      </c>
      <c r="D52" s="24">
        <v>1549.96</v>
      </c>
      <c r="E52" s="29">
        <f t="shared" si="1"/>
        <v>0.8837</v>
      </c>
      <c r="F52" s="34">
        <f t="shared" si="2"/>
        <v>2.027944579</v>
      </c>
      <c r="G52" s="34">
        <f t="shared" si="3"/>
        <v>7.345984403</v>
      </c>
    </row>
    <row r="53" ht="15.0" customHeight="1">
      <c r="B53" s="22" t="s">
        <v>115</v>
      </c>
      <c r="C53" s="23">
        <v>88.08</v>
      </c>
      <c r="D53" s="24">
        <v>984.01</v>
      </c>
      <c r="E53" s="29">
        <f t="shared" si="1"/>
        <v>0.8808</v>
      </c>
      <c r="F53" s="34">
        <f t="shared" si="2"/>
        <v>2.000027831</v>
      </c>
      <c r="G53" s="34">
        <f t="shared" si="3"/>
        <v>6.89163606</v>
      </c>
    </row>
    <row r="54" ht="15.0" customHeight="1">
      <c r="B54" s="22" t="s">
        <v>116</v>
      </c>
      <c r="C54" s="23">
        <v>86.4</v>
      </c>
      <c r="D54" s="24">
        <v>834.39</v>
      </c>
      <c r="E54" s="29">
        <f t="shared" si="1"/>
        <v>0.864</v>
      </c>
      <c r="F54" s="34">
        <f t="shared" si="2"/>
        <v>1.848917883</v>
      </c>
      <c r="G54" s="34">
        <f t="shared" si="3"/>
        <v>6.726700919</v>
      </c>
    </row>
    <row r="55" ht="15.0" customHeight="1">
      <c r="B55" s="22" t="s">
        <v>117</v>
      </c>
      <c r="C55" s="23">
        <v>85.72</v>
      </c>
      <c r="D55" s="24">
        <v>1307.01</v>
      </c>
      <c r="E55" s="29">
        <f t="shared" si="1"/>
        <v>0.8572</v>
      </c>
      <c r="F55" s="34">
        <f t="shared" si="2"/>
        <v>1.792226214</v>
      </c>
      <c r="G55" s="34">
        <f t="shared" si="3"/>
        <v>7.175497365</v>
      </c>
    </row>
    <row r="56" ht="15.0" customHeight="1">
      <c r="B56" s="22" t="s">
        <v>118</v>
      </c>
      <c r="C56" s="23">
        <v>83.6</v>
      </c>
      <c r="D56" s="24">
        <v>2666.21</v>
      </c>
      <c r="E56" s="29">
        <f t="shared" si="1"/>
        <v>0.836</v>
      </c>
      <c r="F56" s="34">
        <f t="shared" si="2"/>
        <v>1.628762185</v>
      </c>
      <c r="G56" s="34">
        <f t="shared" si="3"/>
        <v>7.888413267</v>
      </c>
    </row>
    <row r="57" ht="15.0" customHeight="1">
      <c r="B57" s="22" t="s">
        <v>120</v>
      </c>
      <c r="C57" s="23">
        <v>82.38</v>
      </c>
      <c r="D57" s="24">
        <v>1273.88</v>
      </c>
      <c r="E57" s="29">
        <f t="shared" si="1"/>
        <v>0.8238</v>
      </c>
      <c r="F57" s="34">
        <f t="shared" si="2"/>
        <v>1.542308068</v>
      </c>
      <c r="G57" s="34">
        <f t="shared" si="3"/>
        <v>7.14982264</v>
      </c>
    </row>
    <row r="58" ht="15.0" customHeight="1">
      <c r="B58" s="22" t="s">
        <v>122</v>
      </c>
      <c r="C58" s="23">
        <v>81.52</v>
      </c>
      <c r="D58" s="24">
        <v>1127.72</v>
      </c>
      <c r="E58" s="29">
        <f t="shared" si="1"/>
        <v>0.8152</v>
      </c>
      <c r="F58" s="34">
        <f t="shared" si="2"/>
        <v>1.484159323</v>
      </c>
      <c r="G58" s="34">
        <f t="shared" si="3"/>
        <v>7.027953174</v>
      </c>
    </row>
    <row r="59" ht="15.0" customHeight="1">
      <c r="B59" s="22" t="s">
        <v>123</v>
      </c>
      <c r="C59" s="23">
        <v>80.63</v>
      </c>
      <c r="D59" s="24">
        <v>692.21</v>
      </c>
      <c r="E59" s="29">
        <f t="shared" si="1"/>
        <v>0.8063</v>
      </c>
      <c r="F59" s="34">
        <f t="shared" si="2"/>
        <v>1.426145311</v>
      </c>
      <c r="G59" s="34">
        <f t="shared" si="3"/>
        <v>6.539889378</v>
      </c>
    </row>
    <row r="60" ht="15.0" customHeight="1">
      <c r="B60" s="22" t="s">
        <v>124</v>
      </c>
      <c r="C60" s="23">
        <v>80.54</v>
      </c>
      <c r="D60" s="24">
        <v>1311.71</v>
      </c>
      <c r="E60" s="29">
        <f t="shared" si="1"/>
        <v>0.8054</v>
      </c>
      <c r="F60" s="34">
        <f t="shared" si="2"/>
        <v>1.420392879</v>
      </c>
      <c r="G60" s="34">
        <f t="shared" si="3"/>
        <v>7.179086908</v>
      </c>
    </row>
    <row r="61" ht="15.0" customHeight="1">
      <c r="B61" s="22" t="s">
        <v>125</v>
      </c>
      <c r="C61" s="23">
        <v>78.45</v>
      </c>
      <c r="D61" s="24">
        <v>1692.22</v>
      </c>
      <c r="E61" s="29">
        <f t="shared" si="1"/>
        <v>0.7845</v>
      </c>
      <c r="F61" s="34">
        <f t="shared" si="2"/>
        <v>1.292085663</v>
      </c>
      <c r="G61" s="34">
        <f t="shared" si="3"/>
        <v>7.433796555</v>
      </c>
    </row>
    <row r="62" ht="15.0" customHeight="1">
      <c r="B62" s="22" t="s">
        <v>128</v>
      </c>
      <c r="C62" s="23">
        <v>77.73</v>
      </c>
      <c r="D62" s="24">
        <v>982.97</v>
      </c>
      <c r="E62" s="29">
        <f t="shared" si="1"/>
        <v>0.7773</v>
      </c>
      <c r="F62" s="34">
        <f t="shared" si="2"/>
        <v>1.250000802</v>
      </c>
      <c r="G62" s="34">
        <f t="shared" si="3"/>
        <v>6.890578601</v>
      </c>
    </row>
    <row r="63" ht="15.0" customHeight="1">
      <c r="B63" s="22" t="s">
        <v>129</v>
      </c>
      <c r="C63" s="23">
        <v>77.32</v>
      </c>
      <c r="D63" s="24">
        <v>2136.34</v>
      </c>
      <c r="E63" s="29">
        <f t="shared" si="1"/>
        <v>0.7732</v>
      </c>
      <c r="F63" s="34">
        <f t="shared" si="2"/>
        <v>1.226469175</v>
      </c>
      <c r="G63" s="34">
        <f t="shared" si="3"/>
        <v>7.666849363</v>
      </c>
    </row>
    <row r="64" ht="15.0" customHeight="1">
      <c r="B64" s="22" t="s">
        <v>133</v>
      </c>
      <c r="C64" s="23">
        <v>74.96</v>
      </c>
      <c r="D64" s="24">
        <v>574.6</v>
      </c>
      <c r="E64" s="29">
        <f t="shared" si="1"/>
        <v>0.7496</v>
      </c>
      <c r="F64" s="34">
        <f t="shared" si="2"/>
        <v>1.096480092</v>
      </c>
      <c r="G64" s="34">
        <f t="shared" si="3"/>
        <v>6.353674147</v>
      </c>
    </row>
    <row r="65" ht="15.0" customHeight="1">
      <c r="B65" s="22" t="s">
        <v>134</v>
      </c>
      <c r="C65" s="23">
        <v>74.67</v>
      </c>
      <c r="D65" s="24">
        <v>4047.86</v>
      </c>
      <c r="E65" s="29">
        <f t="shared" si="1"/>
        <v>0.7467</v>
      </c>
      <c r="F65" s="34">
        <f t="shared" si="2"/>
        <v>1.081088941</v>
      </c>
      <c r="G65" s="34">
        <f t="shared" si="3"/>
        <v>8.305943625</v>
      </c>
    </row>
    <row r="66" ht="15.0" customHeight="1">
      <c r="B66" s="22" t="s">
        <v>135</v>
      </c>
      <c r="C66" s="23">
        <v>73.71</v>
      </c>
      <c r="D66" s="24">
        <v>3168.25</v>
      </c>
      <c r="E66" s="29">
        <f t="shared" si="1"/>
        <v>0.7371</v>
      </c>
      <c r="F66" s="34">
        <f t="shared" si="2"/>
        <v>1.030949836</v>
      </c>
      <c r="G66" s="34">
        <f t="shared" si="3"/>
        <v>8.060934664</v>
      </c>
    </row>
    <row r="67" ht="15.0" customHeight="1">
      <c r="B67" s="22" t="s">
        <v>138</v>
      </c>
      <c r="C67" s="23">
        <v>72.9</v>
      </c>
      <c r="D67" s="24">
        <v>1061.17</v>
      </c>
      <c r="E67" s="29">
        <f t="shared" si="1"/>
        <v>0.729</v>
      </c>
      <c r="F67" s="34">
        <f t="shared" si="2"/>
        <v>0.9895549111</v>
      </c>
      <c r="G67" s="34">
        <f t="shared" si="3"/>
        <v>6.967127352</v>
      </c>
    </row>
    <row r="68" ht="15.0" customHeight="1">
      <c r="B68" s="22" t="s">
        <v>139</v>
      </c>
      <c r="C68" s="23">
        <v>72.16</v>
      </c>
      <c r="D68" s="24">
        <v>3246.75</v>
      </c>
      <c r="E68" s="29">
        <f t="shared" si="1"/>
        <v>0.7216</v>
      </c>
      <c r="F68" s="34">
        <f t="shared" si="2"/>
        <v>0.9524120403</v>
      </c>
      <c r="G68" s="34">
        <f t="shared" si="3"/>
        <v>8.085409775</v>
      </c>
    </row>
    <row r="69" ht="15.0" customHeight="1">
      <c r="B69" s="22" t="s">
        <v>140</v>
      </c>
      <c r="C69" s="23">
        <v>70.16</v>
      </c>
      <c r="D69" s="24">
        <v>442.19</v>
      </c>
      <c r="E69" s="29">
        <f t="shared" si="1"/>
        <v>0.7016</v>
      </c>
      <c r="F69" s="34">
        <f t="shared" si="2"/>
        <v>0.8549285727</v>
      </c>
      <c r="G69" s="34">
        <f t="shared" si="3"/>
        <v>6.091739654</v>
      </c>
    </row>
    <row r="70" ht="15.0" customHeight="1">
      <c r="B70" s="22" t="s">
        <v>142</v>
      </c>
      <c r="C70" s="23">
        <v>70.12</v>
      </c>
      <c r="D70" s="24">
        <v>444.79</v>
      </c>
      <c r="E70" s="29">
        <f t="shared" si="1"/>
        <v>0.7012</v>
      </c>
      <c r="F70" s="34">
        <f t="shared" si="2"/>
        <v>0.8530186998</v>
      </c>
      <c r="G70" s="34">
        <f t="shared" si="3"/>
        <v>6.097602261</v>
      </c>
    </row>
    <row r="71" ht="15.0" customHeight="1">
      <c r="B71" s="22" t="s">
        <v>143</v>
      </c>
      <c r="C71" s="23">
        <v>69.87</v>
      </c>
      <c r="D71" s="24">
        <v>891.3</v>
      </c>
      <c r="E71" s="29">
        <f t="shared" si="1"/>
        <v>0.6987</v>
      </c>
      <c r="F71" s="34">
        <f t="shared" si="2"/>
        <v>0.8411150194</v>
      </c>
      <c r="G71" s="34">
        <f t="shared" si="3"/>
        <v>6.792681071</v>
      </c>
    </row>
    <row r="72" ht="15.0" customHeight="1">
      <c r="B72" s="22" t="s">
        <v>144</v>
      </c>
      <c r="C72" s="23">
        <v>66.15</v>
      </c>
      <c r="D72" s="24">
        <v>1214.66</v>
      </c>
      <c r="E72" s="29">
        <f t="shared" si="1"/>
        <v>0.6615</v>
      </c>
      <c r="F72" s="34">
        <f t="shared" si="2"/>
        <v>0.6699858912</v>
      </c>
      <c r="G72" s="34">
        <f t="shared" si="3"/>
        <v>7.102219481</v>
      </c>
    </row>
    <row r="73" ht="15.0" customHeight="1">
      <c r="B73" s="22" t="s">
        <v>147</v>
      </c>
      <c r="C73" s="23">
        <v>66.01</v>
      </c>
      <c r="D73" s="24">
        <v>1608.78</v>
      </c>
      <c r="E73" s="29">
        <f t="shared" si="1"/>
        <v>0.6601</v>
      </c>
      <c r="F73" s="34">
        <f t="shared" si="2"/>
        <v>0.663739882</v>
      </c>
      <c r="G73" s="34">
        <f t="shared" si="3"/>
        <v>7.383231407</v>
      </c>
    </row>
    <row r="74" ht="15.0" customHeight="1">
      <c r="B74" s="22" t="s">
        <v>148</v>
      </c>
      <c r="C74" s="23">
        <v>65.75</v>
      </c>
      <c r="D74" s="24">
        <v>731.52</v>
      </c>
      <c r="E74" s="29">
        <f t="shared" si="1"/>
        <v>0.6575</v>
      </c>
      <c r="F74" s="34">
        <f t="shared" si="2"/>
        <v>0.6521731063</v>
      </c>
      <c r="G74" s="34">
        <f t="shared" si="3"/>
        <v>6.595124561</v>
      </c>
    </row>
    <row r="75" ht="15.0" customHeight="1">
      <c r="B75" s="22" t="s">
        <v>149</v>
      </c>
      <c r="C75" s="23">
        <v>63.68</v>
      </c>
      <c r="D75" s="24">
        <v>270.69</v>
      </c>
      <c r="E75" s="29">
        <f t="shared" si="1"/>
        <v>0.6368</v>
      </c>
      <c r="F75" s="34">
        <f t="shared" si="2"/>
        <v>0.5615019878</v>
      </c>
      <c r="G75" s="34">
        <f t="shared" si="3"/>
        <v>5.600974255</v>
      </c>
    </row>
    <row r="76" ht="15.0" customHeight="1">
      <c r="B76" s="22" t="s">
        <v>150</v>
      </c>
      <c r="C76" s="23">
        <v>56.27</v>
      </c>
      <c r="D76" s="24">
        <v>619.29</v>
      </c>
      <c r="E76" s="29">
        <f t="shared" si="1"/>
        <v>0.5627</v>
      </c>
      <c r="F76" s="34">
        <f t="shared" si="2"/>
        <v>0.252127168</v>
      </c>
      <c r="G76" s="34">
        <f t="shared" si="3"/>
        <v>6.428573661</v>
      </c>
    </row>
    <row r="77" ht="15.0" customHeight="1">
      <c r="B77" s="22" t="s">
        <v>151</v>
      </c>
      <c r="C77" s="23">
        <v>54.69</v>
      </c>
      <c r="D77" s="24">
        <v>623.89</v>
      </c>
      <c r="E77" s="29">
        <f t="shared" si="1"/>
        <v>0.5469</v>
      </c>
      <c r="F77" s="34">
        <f t="shared" si="2"/>
        <v>0.1881531187</v>
      </c>
      <c r="G77" s="34">
        <f t="shared" si="3"/>
        <v>6.435974071</v>
      </c>
    </row>
    <row r="78" ht="15.0" customHeight="1">
      <c r="B78" s="22" t="s">
        <v>153</v>
      </c>
      <c r="C78" s="23">
        <v>53.98</v>
      </c>
      <c r="D78" s="24">
        <v>394.0</v>
      </c>
      <c r="E78" s="29">
        <f t="shared" si="1"/>
        <v>0.5398</v>
      </c>
      <c r="F78" s="34">
        <f t="shared" si="2"/>
        <v>0.159537523</v>
      </c>
      <c r="G78" s="34">
        <f t="shared" si="3"/>
        <v>5.976350909</v>
      </c>
    </row>
    <row r="79" ht="15.0" customHeight="1">
      <c r="B79" s="22" t="s">
        <v>154</v>
      </c>
      <c r="C79" s="23">
        <v>48.39</v>
      </c>
      <c r="D79" s="24">
        <v>522.56</v>
      </c>
      <c r="E79" s="29">
        <f t="shared" si="1"/>
        <v>0.4839</v>
      </c>
      <c r="F79" s="34">
        <f t="shared" si="2"/>
        <v>-0.06442227136</v>
      </c>
      <c r="G79" s="34">
        <f t="shared" si="3"/>
        <v>6.25873981</v>
      </c>
    </row>
    <row r="80" ht="15.0" customHeight="1">
      <c r="B80" s="22" t="s">
        <v>155</v>
      </c>
      <c r="C80" s="23">
        <v>45.17</v>
      </c>
      <c r="D80" s="24">
        <v>616.0</v>
      </c>
      <c r="E80" s="29">
        <f t="shared" si="1"/>
        <v>0.4517</v>
      </c>
      <c r="F80" s="34">
        <f t="shared" si="2"/>
        <v>-0.1938043397</v>
      </c>
      <c r="G80" s="34">
        <f t="shared" si="3"/>
        <v>6.423246964</v>
      </c>
    </row>
    <row r="81" ht="15.0" customHeight="1">
      <c r="B81" s="22" t="s">
        <v>157</v>
      </c>
      <c r="C81" s="23">
        <v>40.66</v>
      </c>
      <c r="D81" s="24">
        <v>505.35</v>
      </c>
      <c r="E81" s="29">
        <f t="shared" si="1"/>
        <v>0.4066</v>
      </c>
      <c r="F81" s="34">
        <f t="shared" si="2"/>
        <v>-0.3780388067</v>
      </c>
      <c r="G81" s="34">
        <f t="shared" si="3"/>
        <v>6.225251259</v>
      </c>
    </row>
    <row r="82" ht="15.0" customHeight="1">
      <c r="B82" s="22" t="s">
        <v>158</v>
      </c>
      <c r="C82" s="23">
        <v>40.62</v>
      </c>
      <c r="D82" s="24">
        <v>634.75</v>
      </c>
      <c r="E82" s="29">
        <f t="shared" si="1"/>
        <v>0.4062</v>
      </c>
      <c r="F82" s="34">
        <f t="shared" si="2"/>
        <v>-0.3796969132</v>
      </c>
      <c r="G82" s="34">
        <f t="shared" si="3"/>
        <v>6.453231221</v>
      </c>
    </row>
    <row r="83" ht="15.0" customHeight="1">
      <c r="B83" s="22" t="s">
        <v>160</v>
      </c>
      <c r="C83" s="23">
        <v>33.56</v>
      </c>
      <c r="D83" s="24">
        <v>414.4</v>
      </c>
      <c r="E83" s="29">
        <f t="shared" si="1"/>
        <v>0.3356</v>
      </c>
      <c r="F83" s="34">
        <f t="shared" si="2"/>
        <v>-0.6829644031</v>
      </c>
      <c r="G83" s="34">
        <f t="shared" si="3"/>
        <v>6.026831691</v>
      </c>
    </row>
    <row r="84" ht="15.75" customHeight="1"/>
    <row r="85" ht="15.0" customHeight="1">
      <c r="B85" s="64" t="s">
        <v>161</v>
      </c>
      <c r="C85" s="8"/>
      <c r="D85" s="8"/>
      <c r="E85" s="8"/>
      <c r="F85" s="8"/>
      <c r="G85" s="8"/>
      <c r="H85" s="8"/>
      <c r="I85" s="8"/>
      <c r="J85" s="8"/>
      <c r="K85" s="10"/>
    </row>
    <row r="86" ht="15.0" customHeight="1">
      <c r="B86" s="11"/>
      <c r="K86" s="12"/>
    </row>
    <row r="87" ht="15.0" customHeight="1">
      <c r="B87" s="14"/>
      <c r="C87" s="15"/>
      <c r="D87" s="15"/>
      <c r="E87" s="15"/>
      <c r="F87" s="15"/>
      <c r="G87" s="15"/>
      <c r="H87" s="15"/>
      <c r="I87" s="15"/>
      <c r="J87" s="15"/>
      <c r="K87" s="1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K10"/>
    <mergeCell ref="J26:Q31"/>
    <mergeCell ref="B85:K8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2026-08-12T23:31:42Z</dcterms:created>
  <dc:creator>Michael Dioha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634405-93d0-4ad6-a9ec-3ad8746df351_ActionId">
    <vt:lpwstr>9664bed0-8140-4355-86a4-c23335406016</vt:lpwstr>
  </property>
  <property fmtid="{D5CDD505-2E9C-101B-9397-08002B2CF9AE}" pid="3" name="MSIP_Label_7f634405-93d0-4ad6-a9ec-3ad8746df351_ContentBits">
    <vt:lpwstr>0</vt:lpwstr>
  </property>
  <property fmtid="{D5CDD505-2E9C-101B-9397-08002B2CF9AE}" pid="4" name="MSIP_Label_7f634405-93d0-4ad6-a9ec-3ad8746df351_Enabled">
    <vt:lpwstr>true</vt:lpwstr>
  </property>
  <property fmtid="{D5CDD505-2E9C-101B-9397-08002B2CF9AE}" pid="5" name="MSIP_Label_7f634405-93d0-4ad6-a9ec-3ad8746df351_Method">
    <vt:lpwstr>Standard</vt:lpwstr>
  </property>
  <property fmtid="{D5CDD505-2E9C-101B-9397-08002B2CF9AE}" pid="6" name="MSIP_Label_7f634405-93d0-4ad6-a9ec-3ad8746df351_Name">
    <vt:lpwstr>CATF</vt:lpwstr>
  </property>
  <property fmtid="{D5CDD505-2E9C-101B-9397-08002B2CF9AE}" pid="7" name="MSIP_Label_7f634405-93d0-4ad6-a9ec-3ad8746df351_SetDate">
    <vt:lpwstr>2026-08-12T23:46:50Z</vt:lpwstr>
  </property>
  <property fmtid="{D5CDD505-2E9C-101B-9397-08002B2CF9AE}" pid="8" name="MSIP_Label_7f634405-93d0-4ad6-a9ec-3ad8746df351_SiteId">
    <vt:lpwstr>530c35d3-1c56-4b32-9cf5-2ab0d16a8115</vt:lpwstr>
  </property>
  <property fmtid="{D5CDD505-2E9C-101B-9397-08002B2CF9AE}" pid="9" name="MSIP_Label_7f634405-93d0-4ad6-a9ec-3ad8746df351_Tag">
    <vt:lpwstr>10, 3, 0, 1</vt:lpwstr>
  </property>
</Properties>
</file>