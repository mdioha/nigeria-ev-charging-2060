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GDP and Population" sheetId="2" state="visible" r:id="rId4"/>
    <sheet name="Gompertz fit" sheetId="3" state="visible" r:id="rId5"/>
    <sheet name="Fleet projections" sheetId="4" state="visible" r:id="rId6"/>
    <sheet name="Validation" sheetId="5" state="visible" r:id="rId7"/>
    <sheet name="EV adoption" sheetId="6" state="visible" r:id="rId8"/>
    <sheet name="Load profile" sheetId="7" state="visible" r:id="rId9"/>
    <sheet name="Results Scenario A" sheetId="8" state="visible" r:id="rId10"/>
    <sheet name="Results Scenario B" sheetId="9" state="visible" r:id="rId11"/>
    <sheet name="Results Scenario C" sheetId="10" state="visible" r:id="rId12"/>
    <sheet name="Delivery check" sheetId="11" state="visible" r:id="rId13"/>
    <sheet name="Sensitivity" sheetId="12" state="visible" r:id="rId14"/>
    <sheet name="Composition sensitivity" sheetId="13" state="visible" r:id="rId15"/>
    <sheet name="Summary 2060" sheetId="14" state="visible" r:id="rId16"/>
    <sheet name="Parameter provenanc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<sst xmlns="http://schemas.openxmlformats.org/spreadsheetml/2006/main" count="1230" uniqueCount="774">
  <si>
    <t xml:space="preserve">Assumptions</t>
  </si>
  <si>
    <t xml:space="preserve">Block 1: Per-vehicle activity and energy intensity</t>
  </si>
  <si>
    <t xml:space="preserve">Vehicle category</t>
  </si>
  <si>
    <t xml:space="preserve">Annual VKT (km/yr)</t>
  </si>
  <si>
    <t xml:space="preserve">Energy intensity (kWh/km)</t>
  </si>
  <si>
    <t xml:space="preserve">Home-charge share</t>
  </si>
  <si>
    <t xml:space="preserve">Use battery swap?</t>
  </si>
  <si>
    <t xml:space="preserve">Source / Notes</t>
  </si>
  <si>
    <t xml:space="preserve">Motorcycle</t>
  </si>
  <si>
    <t xml:space="preserve">YES: Class VKT = home (private-duty) share x private VKT + commercial share x commercial VKT (Block 14).</t>
  </si>
  <si>
    <t xml:space="preserve">VKT: SSA boda-boda/okada studies; kWh/km: Average valude from Indonesia Electric Motorcycle Roadmap [https://www.adb.org/sites/default/files/publication/830831/electric-motorcycle-charging-infrastructure-indonesia.pdf]</t>
  </si>
  <si>
    <t xml:space="preserve">Private car</t>
  </si>
  <si>
    <t xml:space="preserve">No</t>
  </si>
  <si>
    <t xml:space="preserve">VKT: Cervigni 2013 Ch.21 [https://documents1.worldbank.org/curated/en/333931468332952975/pdf/Assessing-low-carbon-development-in-Nigeria-an-analysis-of-four-sectors.pdf]; kWh/km: Hypercharge [https://hypercharge.com/blog/how-fuel-efficient-are-evs-cost-per-distance-to-drive-electric/]</t>
  </si>
  <si>
    <t xml:space="preserve">Light commercial</t>
  </si>
  <si>
    <t xml:space="preserve">VKT: light freight benchmarks [https://www.sciencedirect.com/science/article/abs/pii/S2352550923000635; https://documents1.worldbank.org/curated/en/333931468332952975/pdf/Assessing-low-carbon-development-in-Nigeria-an-analysis-of-four-sectors.pdf]; kWh/km: Our assumption LCV energy intensity of 0.22 kWh/km is consistent with U.S. DOE/EPA EV efficiency benchmarks. The U.S. DOE reports that light-duty all-electric vehicles can consume roughly 25–40 kWh per 100 miles; 0.22 kWh/km converts to about 35.4 kWh/100 miles, which falls within this range [https://afdc.energy.gov/fuels/electricity-benefits]</t>
  </si>
  <si>
    <t xml:space="preserve">Heavy goods</t>
  </si>
  <si>
    <t xml:space="preserve">Heavy-truck Nigeria avg [https://documents1.worldbank.org/curated/en/333931468332952975/pdf/Assessing-low-carbon-development-in-Nigeria-an-analysis-of-four-sectors.pdf]; kWh/km: Designwerk [https://www.designwerk.com/en/post/e-truck/from-real-operation-consumption-values-of-electric-trucks-in-special-applications/]</t>
  </si>
  <si>
    <t xml:space="preserve">Light bus</t>
  </si>
  <si>
    <t xml:space="preserve">The IEA assumes electric minibuses consume 0.35–1.49 kWh/km and our assumption falls within [https://www.iea.org/data-and-statistics/charts/electricity-demand-from-the-electric-vehicle-fleet-by-country-and-region-2030]</t>
  </si>
  <si>
    <t xml:space="preserve">Coach</t>
  </si>
  <si>
    <t xml:space="preserve">Intercity coach activity factors [https://documents1.worldbank.org/curated/en/333931468332952975/pdf/Assessing-low-carbon-development-in-Nigeria-an-analysis-of-four-sectors.pdf]; kWh/km: Alarrouqi et al [https://www.sciencedirect.com/science/article/pii/S235246772400081X]</t>
  </si>
  <si>
    <t xml:space="preserve">Block 2: EV adoption S-curve parameters </t>
  </si>
  <si>
    <t xml:space="preserve">t50 (year EV share = 50%)</t>
  </si>
  <si>
    <t xml:space="preserve">k (steepness)</t>
  </si>
  <si>
    <t xml:space="preserve">Rationale</t>
  </si>
  <si>
    <t xml:space="preserve">Earliest electrification (Ampersand model already proven in East Africa)</t>
  </si>
  <si>
    <t xml:space="preserve">Tracks Nigeria ETP middle-of-road</t>
  </si>
  <si>
    <t xml:space="preserve">Commercial fleets follow private LDV with slight lag</t>
  </si>
  <si>
    <t xml:space="preserve">Most CAPEX-intensive segment; longest payback</t>
  </si>
  <si>
    <t xml:space="preserve">Urban fleets electrify early under air-quality mandates</t>
  </si>
  <si>
    <t xml:space="preserve">Intercity routes require fast/depot charging; intermediate timing</t>
  </si>
  <si>
    <t xml:space="preserve">Block 3: Charger-to-EV ratios</t>
  </si>
  <si>
    <t xml:space="preserve">Charger type</t>
  </si>
  <si>
    <t xml:space="preserve">EVs per charger</t>
  </si>
  <si>
    <t xml:space="preserve">Home L2</t>
  </si>
  <si>
    <t xml:space="preserve">Public AC</t>
  </si>
  <si>
    <t xml:space="preserve">Public DC fast</t>
  </si>
  <si>
    <t xml:space="preserve">Depot HD</t>
  </si>
  <si>
    <t xml:space="preserve">Swap station (motorcycles per station)</t>
  </si>
  <si>
    <t xml:space="preserve">Block 4: Charger CAPEX (USD per port, all-in incl. installation)</t>
  </si>
  <si>
    <t xml:space="preserve">CAPEX USD/port</t>
  </si>
  <si>
    <t xml:space="preserve">Rated power (kW)</t>
  </si>
  <si>
    <t xml:space="preserve">Diversity factor</t>
  </si>
  <si>
    <t xml:space="preserve">Swap station</t>
  </si>
  <si>
    <t xml:space="preserve">Block 5: Grid upgrade unit cost</t>
  </si>
  <si>
    <t xml:space="preserve">Grid upgrade USD per kW of new EV peak load</t>
  </si>
  <si>
    <t xml:space="preserve">Block 6: Macro inputs (population and GDP_pc for context; not directly used in charging calcs)</t>
  </si>
  <si>
    <t xml:space="preserve">Nigeria 2024 GDP/capita (constant 2015 US$; WDI GDP / WPP 2024 population)</t>
  </si>
  <si>
    <t xml:space="preserve">World Bank [https://data.worldbank.org/indicator/NY.GDP.PCAP.PP.CD?locations=NG]</t>
  </si>
  <si>
    <t xml:space="preserve">Assumed real GDP/capita growth, 2024-2060 (CAGR)</t>
  </si>
  <si>
    <t xml:space="preserve">Moderate convergence; sensitivity-tested</t>
  </si>
  <si>
    <t xml:space="preserve">Nigeria 2060 population (M; UN WPP 2024 medium, 1 January)</t>
  </si>
  <si>
    <t xml:space="preserve">UN DESA WPP [https://population.un.org/wpp/]</t>
  </si>
  <si>
    <t xml:space="preserve">Block 7: Level 1 (Mode 2 socket) home charging</t>
  </si>
  <si>
    <t xml:space="preserve">Level 1 share of LDV home charging</t>
  </si>
  <si>
    <t xml:space="preserve">Share of car/LCV home charging done on a standard 230 V socket (Level 1, Mode 2) rather than a dedicated 7 kW Level 2 unit. IEA GEVO 2024: socket charging is the most common home mode in 220-240 V grids.</t>
  </si>
  <si>
    <t xml:space="preserve">EVs per Level 1 socket</t>
  </si>
  <si>
    <t xml:space="preserve">One socket per home-charging vehicle.</t>
  </si>
  <si>
    <t xml:space="preserve">Level 1 CAPEX (USD per socket incl. Mode 2 cable)</t>
  </si>
  <si>
    <t xml:space="preserve">IEA GEVO 2024: dedicated home charger "several hundred USD"; Mode 2 cable + certified socket is the lower bound.</t>
  </si>
  <si>
    <t xml:space="preserve">Level 1 rated power (kW)</t>
  </si>
  <si>
    <t xml:space="preserve">Level 1 diversity factor</t>
  </si>
  <si>
    <t xml:space="preserve">Share of sockets drawing full power at system peak (uncontrolled).</t>
  </si>
  <si>
    <t xml:space="preserve">Motorcycle home charging on Level 1 sockets (share of home-charged e-2W)</t>
  </si>
  <si>
    <t xml:space="preserve">Private e-2W/3W batteries (&lt;8 kWh) fully charge overnight on a standard socket</t>
  </si>
  <si>
    <t xml:space="preserve">Block 8: Generation-side factors</t>
  </si>
  <si>
    <t xml:space="preserve">Generation-side gross-up for network losses and delivery risk</t>
  </si>
  <si>
    <t xml:space="preserve">Applied to at-wall demand when converting to dispatched generation (Eq. 4). Conservative relative to physical T&amp;D losses; see Section 3.4.</t>
  </si>
  <si>
    <t xml:space="preserve">Smart-charging load factor LF (average / peak)</t>
  </si>
  <si>
    <t xml:space="preserve">Derived on the "Load profile" sheet from an explicit hourly charging profile under managed charging.</t>
  </si>
  <si>
    <t xml:space="preserve">Uniform charging-loss uplift (at-wall / battery-side traction energy)</t>
  </si>
  <si>
    <t xml:space="preserve">A uniform 9% uplift is applied to battery-side traction energy for every vehicle class. The model does not apply charger-route-specific loss factors.</t>
  </si>
  <si>
    <t xml:space="preserve">Intercategory coincidence factor applied after charger diversity factors</t>
  </si>
  <si>
    <t xml:space="preserve">Diversity factors describe simultaneous use within each charger category. This factor allows category-specific peaks not to align perfectly. Set to 1.00 to remove the adjustment; the 0.90-to-1.00 range is sensitivity-tested.</t>
  </si>
  <si>
    <t xml:space="preserve">Block 9: Vehicle-to-grid (V2G) capacity calculation</t>
  </si>
  <si>
    <t xml:space="preserve">Share of private-car and LCV EV stock enrolled in V2G</t>
  </si>
  <si>
    <t xml:space="preserve">Conservative enrolment assumption; Dioha et al. (2022) show benefits do not require full participation.</t>
  </si>
  <si>
    <t xml:space="preserve">Availability factor (plugged-in and dispatchable at system peak)</t>
  </si>
  <si>
    <t xml:space="preserve">Dioha et al. (2022, iScience) vary the share of parked grid-connected vehicles between 10% and 70%; 30% is a conservative mid-low value.</t>
  </si>
  <si>
    <t xml:space="preserve">Bidirectional charger power (kW)</t>
  </si>
  <si>
    <t xml:space="preserve">Typical residential bidirectional AC charger</t>
  </si>
  <si>
    <t xml:space="preserve">Block 10: Battery-swap station operating parameters (energy-delivery check)</t>
  </si>
  <si>
    <t xml:space="preserve">Energy per swap (kWh)</t>
  </si>
  <si>
    <t xml:space="preserve">Ampersand LFP pack 3.24 kWh (2025, operator-reported).</t>
  </si>
  <si>
    <t xml:space="preserve">Operator-reported swap frequency (context only; not used in model)</t>
  </si>
  <si>
    <t xml:space="preserve">n.a.</t>
  </si>
  <si>
    <t xml:space="preserve">Reported swaps per motorcycle vary by operator and are not used as an energy input. Annual motorcycle energy is determined from VKT multiplied by kWh/km; the delivery check converts assigned energy into full-battery-equivalent swaps.</t>
  </si>
  <si>
    <t xml:space="preserve">Station operating days per year</t>
  </si>
  <si>
    <t xml:space="preserve">Maximum feasible full-battery-equivalent swaps per station per day</t>
  </si>
  <si>
    <t xml:space="preserve">Capacity benchmark used only in the aggregate annual energy-throughput check. One equivalent swap is 3.24 kWh; actual transactions may replenish partial batteries.</t>
  </si>
  <si>
    <t xml:space="preserve">Block 11: Charger utilisation caps for energy-delivery check</t>
  </si>
  <si>
    <t xml:space="preserve">Home L1 max annual utilisation (share of hours at rated kW)</t>
  </si>
  <si>
    <t xml:space="preserve">About 8 h/day overnight.</t>
  </si>
  <si>
    <t xml:space="preserve">Home L2 max annual utilisation</t>
  </si>
  <si>
    <t xml:space="preserve">Public AC max annual utilisation</t>
  </si>
  <si>
    <t xml:space="preserve">Public DC fast max annual utilisation</t>
  </si>
  <si>
    <t xml:space="preserve">ICCT: well-utilised DC fast sites reach 20-35% time utilisation.</t>
  </si>
  <si>
    <t xml:space="preserve">Depot HD max annual utilisation</t>
  </si>
  <si>
    <t xml:space="preserve">Overnight depot charging ~10 h/day.</t>
  </si>
  <si>
    <t xml:space="preserve">Block 12: Fleet-composition sensitivity (buses gain share from private cars)</t>
  </si>
  <si>
    <t xml:space="preserve">Share of 2060 private-car stock displaced by mass transit</t>
  </si>
  <si>
    <t xml:space="preserve">Alternative-composition case: 10% of private-car stock is displaced by light buses on a passenger-capacity-neutral basis (Assumptions B83 car-equivalents per bus). Applied on the "Composition sensitivity" sheet.</t>
  </si>
  <si>
    <t xml:space="preserve">Private-car equivalents replaced per additional light bus (passenger-capacity basis)</t>
  </si>
  <si>
    <t xml:space="preserve">A 40-seat urban bus at a 60% load factor carries 24 passengers. At 1.5 occupants per private car, the passenger-capacity-neutral ratio is 24 / 1.5 = 16 cars per bus.</t>
  </si>
  <si>
    <t xml:space="preserve">Block 13: Scenario growth-rate construction (see Fleet projections)</t>
  </si>
  <si>
    <t xml:space="preserve">Income elasticity of vehicle ownership at 2060 (Scenario C terminal rate)</t>
  </si>
  <si>
    <t xml:space="preserve">Terminal CAGR (Scenario C) = population growth + elasticity x GDP/cap growth. Dargay, Gately &amp; Sommer (2007) report elasticities near 1 at low-middle income, declining toward saturation.</t>
  </si>
  <si>
    <t xml:space="preserve">Block 14: Motorcycle/tricycle class VKT derivation (WB Table 21.5 duty cycles)</t>
  </si>
  <si>
    <t xml:space="preserve">Private-duty motorcycle VKT (km/yr), WB Table 21.5</t>
  </si>
  <si>
    <t xml:space="preserve">Cervigni et al. (2013) Table 21.5, private motorcycle.</t>
  </si>
  <si>
    <t xml:space="preserve">Commercial-duty (okada/keke) VKT (km/yr), WB Table 21.5 tricycle</t>
  </si>
  <si>
    <t xml:space="preserve">Cervigni et al. (2013) Table 21.5, tricycle (commercial passenger duty cycle). Spiro operator data (150-200 km/day, East Africa) imply higher values for full-time riders; 24,933 km/yr (~80 km/day) is retained as a conservative Nigerian commercial duty cycle.</t>
  </si>
  <si>
    <t xml:space="preserve">Block 15: Complete-electrification variant</t>
  </si>
  <si>
    <t xml:space="preserve">Force 100% EV stock share in 2060 (1 = yes, 0 = central case)</t>
  </si>
  <si>
    <t xml:space="preserve">When 1, each class logistic is divided by its own 2060 value so the stock share reaches exactly 100% in 2060 (shape, t50 and k unchanged; intermediate years rise by up to 25% for HGV).</t>
  </si>
  <si>
    <t xml:space="preserve">GDP per capita (constant 2015 US$) and population, Nigeria 2010 to 2060</t>
  </si>
  <si>
    <t xml:space="preserve">GDP per capita (constant 2015 US$) = World Bank WDI GDP divided by UN WPP 2024 population; population to 2060 = UN WPP 2024 medium variant </t>
  </si>
  <si>
    <t xml:space="preserve">Year</t>
  </si>
  <si>
    <t xml:space="preserve">GDP/cap (constant 2015 US$)</t>
  </si>
  <si>
    <t xml:space="preserve">GDP (constant 2015 US$)</t>
  </si>
  <si>
    <t xml:space="preserve">Population (M)</t>
  </si>
  <si>
    <t xml:space="preserve">GDP/cap growth (yoy)</t>
  </si>
  <si>
    <t xml:space="preserve">Pop growth (yoy)</t>
  </si>
  <si>
    <t xml:space="preserve">Gompertz fit of Nigerian vehicle ownership vs GDP per capita (one estimated 2010 anchor and two observed NBS counts)</t>
  </si>
  <si>
    <t xml:space="preserve">Inputs</t>
  </si>
  <si>
    <t xml:space="preserve">gamma (saturation ceiling, vehicles per 1,000 persons):</t>
  </si>
  <si>
    <t xml:space="preserve">Dargay, Gately &amp; Sommer (2007) high-income asymptote 850 (652 cars); South Africa ~176, Morocco ~112 today. 300 is an intermediate ceiling; sensitivity 225-375 (+/-25%).</t>
  </si>
  <si>
    <t xml:space="preserve">Anchor data (2010: World Bank base-year estimate; 2017 and 2018: observed NBS counts)</t>
  </si>
  <si>
    <t xml:space="preserve">Vehicle stock (M)</t>
  </si>
  <si>
    <t xml:space="preserve">GDP/cap (const. 2015 US$)</t>
  </si>
  <si>
    <t xml:space="preserve">V/P (per 1000)</t>
  </si>
  <si>
    <t xml:space="preserve">V/(P*gamma)</t>
  </si>
  <si>
    <t xml:space="preserve">LN(V/(P*gamma))</t>
  </si>
  <si>
    <t xml:space="preserve">y_lin = LN(-LN(V/(P*gamma)))</t>
  </si>
  <si>
    <t xml:space="preserve">World Bank Cervigni et al. (2013) Table 22.4 base year (SLA 2005 uplifted)</t>
  </si>
  <si>
    <t xml:space="preserve">NBS Road Transport Data Q1 2017 (vehicle population)</t>
  </si>
  <si>
    <t xml:space="preserve">NBS Road Transport Data Q4 2018 (vehicle population; last official total)</t>
  </si>
  <si>
    <t xml:space="preserve">Linearised regression (LINEST with statistics)</t>
  </si>
  <si>
    <t xml:space="preserve">Slope (= beta):</t>
  </si>
  <si>
    <t xml:space="preserve">Intercept (= LN(-alpha)):</t>
  </si>
  <si>
    <t xml:space="preserve">SE of slope:</t>
  </si>
  <si>
    <t xml:space="preserve">Fitted alpha (= -EXP(intercept)):</t>
  </si>
  <si>
    <t xml:space="preserve">Fitted beta (= slope):</t>
  </si>
  <si>
    <t xml:space="preserve">R^2 (linearised):</t>
  </si>
  <si>
    <t xml:space="preserve">SE of intercept:</t>
  </si>
  <si>
    <t xml:space="preserve">Degrees of freedom:</t>
  </si>
  <si>
    <t xml:space="preserve">t-statistic (beta):</t>
  </si>
  <si>
    <t xml:space="preserve">95% CI beta (lower, upper):</t>
  </si>
  <si>
    <t xml:space="preserve">With three anchors (one estimated, two observed) and two parameters there is one degree of freedom; the parameters are weakly identified and confidence intervals are wide. We therefore treat the saturation ceiling gamma as the primary uncertainty (225-375 sensitivity) rather than relying on the statistical precision of alpha and beta.</t>
  </si>
  <si>
    <t xml:space="preserve">Fit quality at anchor years</t>
  </si>
  <si>
    <t xml:space="preserve">Actual V/1000</t>
  </si>
  <si>
    <t xml:space="preserve">Predicted V/1000</t>
  </si>
  <si>
    <t xml:space="preserve">Residual</t>
  </si>
  <si>
    <t xml:space="preserve">% error</t>
  </si>
  <si>
    <t xml:space="preserve">Annual fleet projections 2010 to 2060, anchored on the 2010 base-year estimate and observed NBS counts</t>
  </si>
  <si>
    <t xml:space="preserve">Phase 1 (2010-2018): geometric interpolation between the anchors (WB base-year 2010 estimate; observed NBS counts 2017, 2018). Bridge (2019-2024): anchor-derived 2010-2018 CAGR (NBS discontinued the vehicle-population series after Q4 2018). Phase 2 (2025-2060): Scenario A = constant CAGR at the World Bank 2013-implied 2010-2035 rate (upper bound); Scenario B = Gompertz (gamma = 300) fitted to observed anchors and driven by GDP/cap and population (central); Scenario C = CAGR declining linearly from the observed rate to a terminal rate equal to population growth plus income-elasticity x GDP/cap growth (lower bound). The World Bank 2013 projection is shown for comparison only.</t>
  </si>
  <si>
    <t xml:space="preserve">Vehicle-stock anchors (2010 estimate; 2017 and 2018 observed NBS counts)</t>
  </si>
  <si>
    <t xml:space="preserve">Total fleet (M)</t>
  </si>
  <si>
    <t xml:space="preserve">Source</t>
  </si>
  <si>
    <t xml:space="preserve">World Bank Cervigni et al. (2013) Table 22.4 base year</t>
  </si>
  <si>
    <t xml:space="preserve">Growth-rate parameters</t>
  </si>
  <si>
    <t xml:space="preserve">Anchor-derived CAGR 2010-2018:</t>
  </si>
  <si>
    <t xml:space="preserve">Scenario A CAGR (WB 2013-implied 2010-2035):</t>
  </si>
  <si>
    <t xml:space="preserve">Cervigni et al. (2013) Table 22.4: 8.671M (2010) to 44.791M (2035). Editable.</t>
  </si>
  <si>
    <t xml:space="preserve">Scenario C starting CAGR (2025):</t>
  </si>
  <si>
    <t xml:space="preserve">Scenario C terminal CAGR (2060):</t>
  </si>
  <si>
    <t xml:space="preserve">Population growth 2059-60 (UN WPP 2024) + income elasticity (Assumptions B85) x real GDP/cap growth (Assumptions B47).</t>
  </si>
  <si>
    <t xml:space="preserve">Scenario B anchor scaling factor (bridged 2024 fleet / Gompertz fit at 2024):</t>
  </si>
  <si>
    <t xml:space="preserve">Annual projections (vehicles, millions)</t>
  </si>
  <si>
    <t xml:space="preserve">Anchored (2010-2018) / bridged (2019-2024) (M)</t>
  </si>
  <si>
    <t xml:space="preserve">Scenario A (upper)</t>
  </si>
  <si>
    <t xml:space="preserve">Scenario B (central, Gompertz)</t>
  </si>
  <si>
    <t xml:space="preserve">Scenario C (lower)</t>
  </si>
  <si>
    <t xml:space="preserve">B: GDP/cap</t>
  </si>
  <si>
    <t xml:space="preserve">B: Population (M)</t>
  </si>
  <si>
    <t xml:space="preserve">B: V/1000</t>
  </si>
  <si>
    <t xml:space="preserve">C: CAGR this year</t>
  </si>
  <si>
    <t xml:space="preserve">WB 2013 projection (M)</t>
  </si>
  <si>
    <t xml:space="preserve">Scenario B follows the anchored/bridged stock through 2024. From 2025, the fitted Gompertz ownership-and-population trajectory is scaled to equal the common 2024 anchor, eliminating a curve-splicing discontinuity while preserving subsequent growth.</t>
  </si>
  <si>
    <t xml:space="preserve">Effective Scenario B asymptote after anchoring (gamma x scaling factor, vehicles per 1,000):</t>
  </si>
  <si>
    <t xml:space="preserve">Class-disaggregated totals (scenario total x class share; shares = WB Table 22.4, 2035)</t>
  </si>
  <si>
    <t xml:space="preserve">Class share (WB 2035):</t>
  </si>
  <si>
    <t xml:space="preserve">Scenario A class-disaggregated (M)</t>
  </si>
  <si>
    <t xml:space="preserve">Total</t>
  </si>
  <si>
    <t xml:space="preserve">Scenario B class-disaggregated (M)</t>
  </si>
  <si>
    <t xml:space="preserve">Scenario C class-disaggregated (M)</t>
  </si>
  <si>
    <t xml:space="preserve">Validation of the World Bank (2013) vehicle-stock projection against the anchor data</t>
  </si>
  <si>
    <t xml:space="preserve">Observed NBS vehicle-population counts show that the 2013 projection overshoots: the WB path implies ~15.4 M vehicles in 2018 against 11.83 M observed (+30%). This model therefore anchors on observed data and retains the WB growth rate only as the upper-bound Scenario A.</t>
  </si>
  <si>
    <t xml:space="preserve">Anchor / estimate (M)</t>
  </si>
  <si>
    <t xml:space="preserve">WB / anchor</t>
  </si>
  <si>
    <t xml:space="preserve">Model, Scenario B (M)</t>
  </si>
  <si>
    <t xml:space="preserve">WB Table 22.4 base year </t>
  </si>
  <si>
    <t xml:space="preserve">NBS Q1 2017</t>
  </si>
  <si>
    <t xml:space="preserve">NBS Q3 2017</t>
  </si>
  <si>
    <t xml:space="preserve">NBS Q1 2018</t>
  </si>
  <si>
    <t xml:space="preserve">NBS Q4 2018</t>
  </si>
  <si>
    <t xml:space="preserve">CEIC/OICA (modelled; different methodology)</t>
  </si>
  <si>
    <t xml:space="preserve">FRSC / NIA round estimate (low confidence)</t>
  </si>
  <si>
    <t xml:space="preserve">Implied CAGR 2010-2018, anchor-derived:</t>
  </si>
  <si>
    <t xml:space="preserve">Implied CAGR 2010-2035, WB 2013 projection:</t>
  </si>
  <si>
    <t xml:space="preserve">Scenario endpoints 2060 (M):</t>
  </si>
  <si>
    <t xml:space="preserve">Scenario A (upper, WB growth rate)</t>
  </si>
  <si>
    <t xml:space="preserve">vehicles per 1,000 persons in 2060 (col C); South Africa ~176, Morocco ~112, Libya ~490 today (OICA).</t>
  </si>
  <si>
    <t xml:space="preserve">Scenario B (central, Gompertz gamma=300)</t>
  </si>
  <si>
    <t xml:space="preserve">Scenario C (lower, declining CAGR)</t>
  </si>
  <si>
    <t xml:space="preserve">EV adoption share by class and year (logistic S-curves)</t>
  </si>
  <si>
    <t xml:space="preserve">Hourly charging profile under managed (smart) charging and derived load factor</t>
  </si>
  <si>
    <t xml:space="preserve">Each column gives the share of that charger segment's daily energy delivered in each hour (sums to 100%). Segment weights (row 30) are the segment's share of 2060 central-case at-wall energy. The aggregate hourly profile is the weighted sum; LF = mean / max. Managed charging shifts home and depot charging into the 22:00-06:00 window and workplace charging into 09:00-15:00 (solar hours). Profiles are stylised, informed by Lukuyu et al. (2024, Sci. Rep.) for African cities and NREL/ICCT load-profile conventions.</t>
  </si>
  <si>
    <t xml:space="preserve">Hour</t>
  </si>
  <si>
    <t xml:space="preserve">Home (L1+L2, managed overnight)</t>
  </si>
  <si>
    <t xml:space="preserve">Workplace/public AC (daytime)</t>
  </si>
  <si>
    <t xml:space="preserve">Depot HD (managed overnight)</t>
  </si>
  <si>
    <t xml:space="preserve">Battery swap (distributed)</t>
  </si>
  <si>
    <t xml:space="preserve">Aggregate share</t>
  </si>
  <si>
    <t xml:space="preserve">Column sums</t>
  </si>
  <si>
    <t xml:space="preserve">Segment energy weight (2060, Scenario B)</t>
  </si>
  <si>
    <t xml:space="preserve">Non-home LDV energy split 60% public AC / 40% DC fast (stylised).</t>
  </si>
  <si>
    <t xml:space="preserve">Load factor LF = mean hourly share / max hourly share:</t>
  </si>
  <si>
    <t xml:space="preserve">Peak hour (0-23):</t>
  </si>
  <si>
    <t xml:space="preserve">Energy-by-segment weights (2060, Scenario B at-wall TWh)</t>
  </si>
  <si>
    <t xml:space="preserve">Motorcycle TWh</t>
  </si>
  <si>
    <t xml:space="preserve">Private car TWh</t>
  </si>
  <si>
    <t xml:space="preserve">LCV TWh</t>
  </si>
  <si>
    <t xml:space="preserve">HGV TWh</t>
  </si>
  <si>
    <t xml:space="preserve">Light bus TWh</t>
  </si>
  <si>
    <t xml:space="preserve">Coach TWh</t>
  </si>
  <si>
    <t xml:space="preserve">Total TWh</t>
  </si>
  <si>
    <t xml:space="preserve">Load factor by year (same hourly profiles, each year's charging mix; Scenario B energy by class)</t>
  </si>
  <si>
    <t xml:space="preserve">Home weight</t>
  </si>
  <si>
    <t xml:space="preserve">Workplace/public AC weight</t>
  </si>
  <si>
    <t xml:space="preserve">Public DC fast weight</t>
  </si>
  <si>
    <t xml:space="preserve">Depot weight</t>
  </si>
  <si>
    <t xml:space="preserve">Battery swap weight</t>
  </si>
  <si>
    <t xml:space="preserve">Hour 0 aggregate share</t>
  </si>
  <si>
    <t xml:space="preserve">Hour 1 aggregate share</t>
  </si>
  <si>
    <t xml:space="preserve">Hour 2 aggregate share</t>
  </si>
  <si>
    <t xml:space="preserve">Hour 3 aggregate share</t>
  </si>
  <si>
    <t xml:space="preserve">Hour 4 aggregate share</t>
  </si>
  <si>
    <t xml:space="preserve">Hour 5 aggregate share</t>
  </si>
  <si>
    <t xml:space="preserve">Hour 6 aggregate share</t>
  </si>
  <si>
    <t xml:space="preserve">Hour 7 aggregate share</t>
  </si>
  <si>
    <t xml:space="preserve">Hour 8 aggregate share</t>
  </si>
  <si>
    <t xml:space="preserve">Hour 9 aggregate share</t>
  </si>
  <si>
    <t xml:space="preserve">Hour 10 aggregate share</t>
  </si>
  <si>
    <t xml:space="preserve">Hour 11 aggregate share</t>
  </si>
  <si>
    <t xml:space="preserve">Hour 12 aggregate share</t>
  </si>
  <si>
    <t xml:space="preserve">Hour 13 aggregate share</t>
  </si>
  <si>
    <t xml:space="preserve">Hour 14 aggregate share</t>
  </si>
  <si>
    <t xml:space="preserve">Hour 15 aggregate share</t>
  </si>
  <si>
    <t xml:space="preserve">Hour 16 aggregate share</t>
  </si>
  <si>
    <t xml:space="preserve">Hour 17 aggregate share</t>
  </si>
  <si>
    <t xml:space="preserve">Hour 18 aggregate share</t>
  </si>
  <si>
    <t xml:space="preserve">Hour 19 aggregate share</t>
  </si>
  <si>
    <t xml:space="preserve">Hour 20 aggregate share</t>
  </si>
  <si>
    <t xml:space="preserve">Hour 21 aggregate share</t>
  </si>
  <si>
    <t xml:space="preserve">Hour 22 aggregate share</t>
  </si>
  <si>
    <t xml:space="preserve">Hour 23 aggregate share</t>
  </si>
  <si>
    <t xml:space="preserve">Load factor LF = mean / max</t>
  </si>
  <si>
    <t xml:space="preserve">Results: Scenario A (annual 2025 to 2060)</t>
  </si>
  <si>
    <t xml:space="preserve">Total fleet</t>
  </si>
  <si>
    <t xml:space="preserve">EV motorcycle</t>
  </si>
  <si>
    <t xml:space="preserve">EV private car</t>
  </si>
  <si>
    <t xml:space="preserve">EV light commercial</t>
  </si>
  <si>
    <t xml:space="preserve">EV heavy goods</t>
  </si>
  <si>
    <t xml:space="preserve">EV light bus</t>
  </si>
  <si>
    <t xml:space="preserve">EV coach</t>
  </si>
  <si>
    <t xml:space="preserve">Total EVs</t>
  </si>
  <si>
    <t xml:space="preserve">Energy demand (TWh/yr)</t>
  </si>
  <si>
    <t xml:space="preserve">Peak power (GW, uncontrolled)</t>
  </si>
  <si>
    <t xml:space="preserve">Home L1 sockets</t>
  </si>
  <si>
    <t xml:space="preserve">Home L2 chargers</t>
  </si>
  <si>
    <t xml:space="preserve">Public AC chargers</t>
  </si>
  <si>
    <t xml:space="preserve">Depot HD chargers</t>
  </si>
  <si>
    <t xml:space="preserve">Battery swap stations</t>
  </si>
  <si>
    <t xml:space="preserve">Charger CAPEX ($bn)</t>
  </si>
  <si>
    <t xml:space="preserve">Grid upgrade CAPEX ($bn)</t>
  </si>
  <si>
    <t xml:space="preserve">Total CAPEX ($bn)</t>
  </si>
  <si>
    <t xml:space="preserve">Dispatched generation, smart (GW)</t>
  </si>
  <si>
    <t xml:space="preserve">V2G dispatchable capacity (GW)</t>
  </si>
  <si>
    <t xml:space="preserve">Results: Scenario B (annual 2025 to 2060)</t>
  </si>
  <si>
    <t xml:space="preserve">Results: Scenario C (annual 2025 to 2060)</t>
  </si>
  <si>
    <t xml:space="preserve">Aggregate annual energy-throughput check, 2060</t>
  </si>
  <si>
    <t xml:space="preserve">Deliverable energy = charger count x rated kW x 8,760 h x maximum annual utilisation (Assumptions Block 11); swap stations: stations x maximum full-battery-equivalent swaps/day x kWh/equivalent swap x days. Assigned energy = at-wall demand routed to each segment (home L1/L2 split by the L1 share; non-home LDV energy split 60% public AC / 40% DC fast; HD classes to depot; non-home motorcycles to swap). Headroom above 1 establishes aggregate annual energy capacity only; it does not establish geographic coverage, queueing, uptime or local-grid adequacy.</t>
  </si>
  <si>
    <t xml:space="preserve">Scenario A, 2060</t>
  </si>
  <si>
    <t xml:space="preserve">Segment</t>
  </si>
  <si>
    <t xml:space="preserve">Count (units)</t>
  </si>
  <si>
    <t xml:space="preserve">Rated kW</t>
  </si>
  <si>
    <t xml:space="preserve">Max utilisation</t>
  </si>
  <si>
    <t xml:space="preserve">Deliverable (TWh/yr)</t>
  </si>
  <si>
    <t xml:space="preserve">Assigned at-wall (TWh/yr)</t>
  </si>
  <si>
    <t xml:space="preserve">Headroom (x)</t>
  </si>
  <si>
    <t xml:space="preserve">Battery swap</t>
  </si>
  <si>
    <t xml:space="preserve">For swap: C = kWh per full-battery-equivalent swap; D = maximum equivalent swaps/station/day.</t>
  </si>
  <si>
    <t xml:space="preserve">Scenario B, 2060</t>
  </si>
  <si>
    <t xml:space="preserve">Scenario C, 2060</t>
  </si>
  <si>
    <t xml:space="preserve">Sensitivity analysis: 2060 Scenario B net build-out CAPEX (one-at-a-time and surrogate Monte Carlo)</t>
  </si>
  <si>
    <t xml:space="preserve">Shadow inputs </t>
  </si>
  <si>
    <t xml:space="preserve">Stock 2060 Motorcycle (M)</t>
  </si>
  <si>
    <t xml:space="preserve">Stock 2060 Private car (M)</t>
  </si>
  <si>
    <t xml:space="preserve">Stock 2060 Light commercial (M)</t>
  </si>
  <si>
    <t xml:space="preserve">Stock 2060 Heavy goods (M)</t>
  </si>
  <si>
    <t xml:space="preserve">Stock 2060 Light bus (M)</t>
  </si>
  <si>
    <t xml:space="preserve">Stock 2060 Coach (M)</t>
  </si>
  <si>
    <t xml:space="preserve">EV share 2060 Motorcycle</t>
  </si>
  <si>
    <t xml:space="preserve">EV share 2060 Private car</t>
  </si>
  <si>
    <t xml:space="preserve">EV share 2060 Light commercial</t>
  </si>
  <si>
    <t xml:space="preserve">EV share 2060 Heavy goods</t>
  </si>
  <si>
    <t xml:space="preserve">EV share 2060 Light bus</t>
  </si>
  <si>
    <t xml:space="preserve">EV share 2060 Coach</t>
  </si>
  <si>
    <t xml:space="preserve">VKT Motorcycle</t>
  </si>
  <si>
    <t xml:space="preserve">VKT Private car</t>
  </si>
  <si>
    <t xml:space="preserve">VKT Light commercial</t>
  </si>
  <si>
    <t xml:space="preserve">VKT Heavy goods</t>
  </si>
  <si>
    <t xml:space="preserve">VKT Light bus</t>
  </si>
  <si>
    <t xml:space="preserve">VKT Coach</t>
  </si>
  <si>
    <t xml:space="preserve">kWh/km Motorcycle</t>
  </si>
  <si>
    <t xml:space="preserve">kWh/km Private car</t>
  </si>
  <si>
    <t xml:space="preserve">kWh/km Light commercial</t>
  </si>
  <si>
    <t xml:space="preserve">kWh/km Heavy goods</t>
  </si>
  <si>
    <t xml:space="preserve">kWh/km Light bus</t>
  </si>
  <si>
    <t xml:space="preserve">kWh/km Coach</t>
  </si>
  <si>
    <t xml:space="preserve">Home share Motorcycle</t>
  </si>
  <si>
    <t xml:space="preserve">Home share Private car</t>
  </si>
  <si>
    <t xml:space="preserve">Home share Light commercial</t>
  </si>
  <si>
    <t xml:space="preserve">Home share Heavy goods</t>
  </si>
  <si>
    <t xml:space="preserve">Home share Light bus</t>
  </si>
  <si>
    <t xml:space="preserve">Home share Coach</t>
  </si>
  <si>
    <t xml:space="preserve">EVs per Home L1</t>
  </si>
  <si>
    <t xml:space="preserve">EVs per Home L2</t>
  </si>
  <si>
    <t xml:space="preserve">EVs per Public AC</t>
  </si>
  <si>
    <t xml:space="preserve">EVs per Public DC fast</t>
  </si>
  <si>
    <t xml:space="preserve">EVs per Depot HD</t>
  </si>
  <si>
    <t xml:space="preserve">EVs per Swap</t>
  </si>
  <si>
    <t xml:space="preserve">CAPEX per Home L1 (USD)</t>
  </si>
  <si>
    <t xml:space="preserve">CAPEX per Home L2 (USD)</t>
  </si>
  <si>
    <t xml:space="preserve">CAPEX per Public AC (USD)</t>
  </si>
  <si>
    <t xml:space="preserve">CAPEX per Public DC fast (USD)</t>
  </si>
  <si>
    <t xml:space="preserve">CAPEX per Depot HD (USD)</t>
  </si>
  <si>
    <t xml:space="preserve">CAPEX per Swap (USD)</t>
  </si>
  <si>
    <t xml:space="preserve">Rated kW Home L1</t>
  </si>
  <si>
    <t xml:space="preserve">Rated kW Home L2</t>
  </si>
  <si>
    <t xml:space="preserve">Rated kW Public AC</t>
  </si>
  <si>
    <t xml:space="preserve">Rated kW Public DC fast</t>
  </si>
  <si>
    <t xml:space="preserve">Rated kW Depot HD</t>
  </si>
  <si>
    <t xml:space="preserve">Rated kW Swap</t>
  </si>
  <si>
    <t xml:space="preserve">Diversity Home L1</t>
  </si>
  <si>
    <t xml:space="preserve">Diversity Home L2</t>
  </si>
  <si>
    <t xml:space="preserve">Diversity Public AC</t>
  </si>
  <si>
    <t xml:space="preserve">Diversity Public DC fast</t>
  </si>
  <si>
    <t xml:space="preserve">Diversity Depot HD</t>
  </si>
  <si>
    <t xml:space="preserve">Diversity Swap</t>
  </si>
  <si>
    <t xml:space="preserve">Grid upgrade USD/kW</t>
  </si>
  <si>
    <t xml:space="preserve">Motorcycle home charging on L1 (share)</t>
  </si>
  <si>
    <t xml:space="preserve">gamma</t>
  </si>
  <si>
    <t xml:space="preserve">Intercategory coincidence factor</t>
  </si>
  <si>
    <t xml:space="preserve">GDP/cap 2060</t>
  </si>
  <si>
    <t xml:space="preserve">Population 2060 (M)</t>
  </si>
  <si>
    <t xml:space="preserve">t50 Motorcycle</t>
  </si>
  <si>
    <t xml:space="preserve">t50 Private car</t>
  </si>
  <si>
    <t xml:space="preserve">t50 Light commercial</t>
  </si>
  <si>
    <t xml:space="preserve">t50 Heavy goods</t>
  </si>
  <si>
    <t xml:space="preserve">t50 Light bus</t>
  </si>
  <si>
    <t xml:space="preserve">t50 Coach</t>
  </si>
  <si>
    <t xml:space="preserve">Anchors for refit: V/1000 and GDP/cap (2010 estimate; 2017, 2018 NBS counts)</t>
  </si>
  <si>
    <t xml:space="preserve">Class shares (WB 2035; normalized)</t>
  </si>
  <si>
    <t xml:space="preserve">Baseline Total CAPEX 2060 Scenario B ($bn), shadow calculation:</t>
  </si>
  <si>
    <t xml:space="preserve">Cross-check with Results sheet (must match).</t>
  </si>
  <si>
    <t xml:space="preserve">gamma refit helpers</t>
  </si>
  <si>
    <t xml:space="preserve">gamma -25%</t>
  </si>
  <si>
    <t xml:space="preserve">gamma +25%</t>
  </si>
  <si>
    <t xml:space="preserve">gamma (perturbed)</t>
  </si>
  <si>
    <t xml:space="preserve">y_lin 2010</t>
  </si>
  <si>
    <t xml:space="preserve">y_lin 2017</t>
  </si>
  <si>
    <t xml:space="preserve">y_lin 2018</t>
  </si>
  <si>
    <t xml:space="preserve">beta refit</t>
  </si>
  <si>
    <t xml:space="preserve">alpha refit</t>
  </si>
  <si>
    <t xml:space="preserve">Fleet 2060 (M), refit</t>
  </si>
  <si>
    <t xml:space="preserve">Fleet factor vs baseline</t>
  </si>
  <si>
    <t xml:space="preserve">t50 shift helpers: EV share 2060</t>
  </si>
  <si>
    <t xml:space="preserve">+5 yr later</t>
  </si>
  <si>
    <t xml:space="preserve">-5 yr earlier</t>
  </si>
  <si>
    <t xml:space="preserve">One-at-a-time perturbation table</t>
  </si>
  <si>
    <t xml:space="preserve">Parameter</t>
  </si>
  <si>
    <t xml:space="preserve">Perturbation</t>
  </si>
  <si>
    <t xml:space="preserve">Perturbed Total CAPEX ($bn)</t>
  </si>
  <si>
    <t xml:space="preserve">Delta vs baseline ($bn)</t>
  </si>
  <si>
    <t xml:space="preserve">Range ($bn)</t>
  </si>
  <si>
    <t xml:space="preserve">Importance</t>
  </si>
  <si>
    <t xml:space="preserve">Saturation ceiling gamma (+/-25%, refit)</t>
  </si>
  <si>
    <t xml:space="preserve">-25%</t>
  </si>
  <si>
    <t xml:space="preserve">+25%</t>
  </si>
  <si>
    <t xml:space="preserve">Charger CAPEX per port (+/-30%)</t>
  </si>
  <si>
    <t xml:space="preserve">-30%</t>
  </si>
  <si>
    <t xml:space="preserve">+30%</t>
  </si>
  <si>
    <t xml:space="preserve">Grid upgrade cost per kW (+/-50%)</t>
  </si>
  <si>
    <t xml:space="preserve">-50%</t>
  </si>
  <si>
    <t xml:space="preserve">+50%</t>
  </si>
  <si>
    <t xml:space="preserve">EV-share midpoint t50 (+/-5 years)</t>
  </si>
  <si>
    <t xml:space="preserve">+5 yr (later)</t>
  </si>
  <si>
    <t xml:space="preserve">-5 yr (earlier)</t>
  </si>
  <si>
    <t xml:space="preserve">Public DC ratio, EVs per charger (+/-50%)</t>
  </si>
  <si>
    <t xml:space="preserve">Home-charge share, all classes (+/-50%)</t>
  </si>
  <si>
    <t xml:space="preserve">Annual VKT (+/-30%)</t>
  </si>
  <si>
    <t xml:space="preserve">Energy intensity kWh/km (+/-30%)</t>
  </si>
  <si>
    <t xml:space="preserve">VKT and kWh/km have no effect on CAPEX by construction (charger counts depend on EV stock and EVs-per-charger ratios); their effect on energy and generation is reported in Section 4. The "Delivery check" sheet tests aggregate annual energy-throughput capacity only.</t>
  </si>
  <si>
    <t xml:space="preserve">Surrogate Monte Carlo specification </t>
  </si>
  <si>
    <t xml:space="preserve">Input</t>
  </si>
  <si>
    <t xml:space="preserve">Distribution</t>
  </si>
  <si>
    <t xml:space="preserve">Low CAPEX effect ($bn)</t>
  </si>
  <si>
    <t xml:space="preserve">High CAPEX effect ($bn)</t>
  </si>
  <si>
    <t xml:space="preserve">Correlation</t>
  </si>
  <si>
    <t xml:space="preserve">Source of range</t>
  </si>
  <si>
    <t xml:space="preserve">Saturation ceiling gamma</t>
  </si>
  <si>
    <t xml:space="preserve">Uniform on [-25%, +25%] of gamma (refit)</t>
  </si>
  <si>
    <t xml:space="preserve">Independent</t>
  </si>
  <si>
    <t xml:space="preserve">One-at-a-time table above</t>
  </si>
  <si>
    <t xml:space="preserve">Charger CAPEX per port</t>
  </si>
  <si>
    <t xml:space="preserve">Uniform on [-30%, +30%]</t>
  </si>
  <si>
    <t xml:space="preserve">Grid upgrade cost per kW</t>
  </si>
  <si>
    <t xml:space="preserve">Uniform on [-50%, +50%]</t>
  </si>
  <si>
    <t xml:space="preserve">EV-share midpoint t50</t>
  </si>
  <si>
    <t xml:space="preserve">Uniform on [-5, +5] years</t>
  </si>
  <si>
    <t xml:space="preserve">Public DC ratio</t>
  </si>
  <si>
    <t xml:space="preserve">Number of trials</t>
  </si>
  <si>
    <t xml:space="preserve">Sampling</t>
  </si>
  <si>
    <t xml:space="preserve">Independent uniform draws; each CAPEX effect is linearly interpolated between one-at-a-time endpoints and effects are added. This is a surrogate response-surface analysis, not a full nonlinear rerun.</t>
  </si>
  <si>
    <t xml:space="preserve">Random seed</t>
  </si>
  <si>
    <t xml:space="preserve">numpy default_rng(42)</t>
  </si>
  <si>
    <t xml:space="preserve">Output</t>
  </si>
  <si>
    <t xml:space="preserve">2060 Scenario B Total CAPEX ($bn) = baseline + sum of sampled effects</t>
  </si>
  <si>
    <t xml:space="preserve">Reported interval</t>
  </si>
  <si>
    <t xml:space="preserve">90% interval = 5th to 95th percentile of the 5,000 outputs; median and mean also reported</t>
  </si>
  <si>
    <t xml:space="preserve">Implementation</t>
  </si>
  <si>
    <t xml:space="preserve">generate_figures.py, Figure 11 block (reads this table)</t>
  </si>
  <si>
    <t xml:space="preserve">Intercategory coincidence factor (0.90 to 1.00)</t>
  </si>
  <si>
    <t xml:space="preserve">0.90 baseline</t>
  </si>
  <si>
    <t xml:space="preserve">1.00 (no adjustment)</t>
  </si>
  <si>
    <t xml:space="preserve">Throughput-constrained energy sensitivity (+30% VKT or +30% kWh/km, 2060 Scenario B)</t>
  </si>
  <si>
    <t xml:space="preserve">Public AC energy assigned at +30% (TWh/yr):</t>
  </si>
  <si>
    <t xml:space="preserve">Public AC deliverable energy (TWh/yr):</t>
  </si>
  <si>
    <t xml:space="preserve">Additional public AC ports required (units):</t>
  </si>
  <si>
    <t xml:space="preserve">Additional charger CAPEX ($bn):</t>
  </si>
  <si>
    <t xml:space="preserve">Additional grid CAPEX ($bn):</t>
  </si>
  <si>
    <t xml:space="preserve">Throughput-constrained CAPEX effect of +30% energy ($bn):</t>
  </si>
  <si>
    <t xml:space="preserve">Lowest headroom of the other segments at +30% energy (x):</t>
  </si>
  <si>
    <t xml:space="preserve">Fleet-composition sensitivity, 2060 Scenario B: buses gain share from private cars</t>
  </si>
  <si>
    <t xml:space="preserve">Item</t>
  </si>
  <si>
    <t xml:space="preserve">Central case</t>
  </si>
  <si>
    <t xml:space="preserve">Alternative composition</t>
  </si>
  <si>
    <t xml:space="preserve">Change</t>
  </si>
  <si>
    <t xml:space="preserve">% change</t>
  </si>
  <si>
    <t xml:space="preserve">Private car share of 2060 fleet</t>
  </si>
  <si>
    <t xml:space="preserve">Light bus share of 2060 fleet</t>
  </si>
  <si>
    <t xml:space="preserve">EV private cars (units)</t>
  </si>
  <si>
    <t xml:space="preserve">EV light buses (units)</t>
  </si>
  <si>
    <t xml:space="preserve">Peak power (GW)</t>
  </si>
  <si>
    <t xml:space="preserve">Summary of 2060 endpoints, three scenarios (net first-installation build-out)</t>
  </si>
  <si>
    <t xml:space="preserve">Metric</t>
  </si>
  <si>
    <t xml:space="preserve">Scenario A</t>
  </si>
  <si>
    <t xml:space="preserve">Scenario B</t>
  </si>
  <si>
    <t xml:space="preserve">Scenario C</t>
  </si>
  <si>
    <t xml:space="preserve">EV share</t>
  </si>
  <si>
    <t xml:space="preserve">Peak power, uncontrolled (GW)</t>
  </si>
  <si>
    <t xml:space="preserve">Parameter provenance: every model input with value, unit, source, locator and type</t>
  </si>
  <si>
    <t xml:space="preserve">parameter</t>
  </si>
  <si>
    <t xml:space="preserve">workbook_cell</t>
  </si>
  <si>
    <t xml:space="preserve">value</t>
  </si>
  <si>
    <t xml:space="preserve">unit</t>
  </si>
  <si>
    <t xml:space="preserve">type</t>
  </si>
  <si>
    <t xml:space="preserve">source</t>
  </si>
  <si>
    <t xml:space="preserve">locator</t>
  </si>
  <si>
    <t xml:space="preserve">transformation_or_note</t>
  </si>
  <si>
    <t xml:space="preserve">Annual VKT, motorcycle/tricycle class</t>
  </si>
  <si>
    <t xml:space="preserve">Assumptions!B6</t>
  </si>
  <si>
    <t xml:space="preserve">16,296</t>
  </si>
  <si>
    <t xml:space="preserve">km/yr</t>
  </si>
  <si>
    <t xml:space="preserve">derived</t>
  </si>
  <si>
    <t xml:space="preserve">Cervigni et al. (2013)</t>
  </si>
  <si>
    <t xml:space="preserve">Table 21.5</t>
  </si>
  <si>
    <t xml:space="preserve">0.5 x 7,659 (private) + 0.5 x 24,933 (commercial tricycle); weights = home-charge share</t>
  </si>
  <si>
    <t xml:space="preserve">Annual VKT, Private car</t>
  </si>
  <si>
    <t xml:space="preserve">Assumptions!B7</t>
  </si>
  <si>
    <t xml:space="preserve">32500</t>
  </si>
  <si>
    <t xml:space="preserve">literature value (located)</t>
  </si>
  <si>
    <t xml:space="preserve">use-weighted average of survey categories (Section 3.3); rounded</t>
  </si>
  <si>
    <t xml:space="preserve">Annual VKT, LCV</t>
  </si>
  <si>
    <t xml:space="preserve">Assumptions!B8</t>
  </si>
  <si>
    <t xml:space="preserve">20600</t>
  </si>
  <si>
    <t xml:space="preserve">Annual VKT, HGV</t>
  </si>
  <si>
    <t xml:space="preserve">Assumptions!B9</t>
  </si>
  <si>
    <t xml:space="preserve">33700</t>
  </si>
  <si>
    <t xml:space="preserve">Annual VKT, Light bus</t>
  </si>
  <si>
    <t xml:space="preserve">Assumptions!B10</t>
  </si>
  <si>
    <t xml:space="preserve">21400</t>
  </si>
  <si>
    <t xml:space="preserve">Annual VKT, Coach</t>
  </si>
  <si>
    <t xml:space="preserve">Assumptions!B11</t>
  </si>
  <si>
    <t xml:space="preserve">33200</t>
  </si>
  <si>
    <t xml:space="preserve">Battery-side energy intensity, Motorcycle</t>
  </si>
  <si>
    <t xml:space="preserve">Assumptions!C6</t>
  </si>
  <si>
    <t xml:space="preserve">0.03</t>
  </si>
  <si>
    <t xml:space="preserve">kWh/km</t>
  </si>
  <si>
    <t xml:space="preserve">author assumption informed by literature (exact value not located in source)</t>
  </si>
  <si>
    <t xml:space="preserve">IEA (2024); ICCT (2024); Yuksel and Michalek (2015); Lajunen and Tammi (2017); Xu et al. (2023)</t>
  </si>
  <si>
    <t xml:space="preserve">not located to a table</t>
  </si>
  <si>
    <t xml:space="preserve">global benchmark with warm-climate adjustment; author judgement</t>
  </si>
  <si>
    <t xml:space="preserve">Battery-side energy intensity, Private car</t>
  </si>
  <si>
    <t xml:space="preserve">Assumptions!C7</t>
  </si>
  <si>
    <t xml:space="preserve">0.17</t>
  </si>
  <si>
    <t xml:space="preserve">Battery-side energy intensity, LCV</t>
  </si>
  <si>
    <t xml:space="preserve">Assumptions!C8</t>
  </si>
  <si>
    <t xml:space="preserve">0.22</t>
  </si>
  <si>
    <t xml:space="preserve">Battery-side energy intensity, HGV</t>
  </si>
  <si>
    <t xml:space="preserve">Assumptions!C9</t>
  </si>
  <si>
    <t xml:space="preserve">1.3</t>
  </si>
  <si>
    <t xml:space="preserve">Battery-side energy intensity, Light bus</t>
  </si>
  <si>
    <t xml:space="preserve">Assumptions!C10</t>
  </si>
  <si>
    <t xml:space="preserve">0.7</t>
  </si>
  <si>
    <t xml:space="preserve">Battery-side energy intensity, Coach</t>
  </si>
  <si>
    <t xml:space="preserve">Assumptions!C11</t>
  </si>
  <si>
    <t xml:space="preserve">1.5</t>
  </si>
  <si>
    <t xml:space="preserve">Home-charge share, Motorcycle</t>
  </si>
  <si>
    <t xml:space="preserve">Assumptions!D6</t>
  </si>
  <si>
    <t xml:space="preserve">0.5</t>
  </si>
  <si>
    <t xml:space="preserve">share</t>
  </si>
  <si>
    <t xml:space="preserve">author assumption</t>
  </si>
  <si>
    <t xml:space="preserve">Author (housing typology); no Nigerian survey located</t>
  </si>
  <si>
    <t xml:space="preserve">n/a</t>
  </si>
  <si>
    <t xml:space="preserve">varied +/-50% in Section 4</t>
  </si>
  <si>
    <t xml:space="preserve">Home-charge share, Private car</t>
  </si>
  <si>
    <t xml:space="preserve">Assumptions!D7</t>
  </si>
  <si>
    <t xml:space="preserve">0.4</t>
  </si>
  <si>
    <t xml:space="preserve">Home-charge share, LCV</t>
  </si>
  <si>
    <t xml:space="preserve">Assumptions!D8</t>
  </si>
  <si>
    <t xml:space="preserve">0.3</t>
  </si>
  <si>
    <t xml:space="preserve">Home-charge share, HGV</t>
  </si>
  <si>
    <t xml:space="preserve">Assumptions!D9</t>
  </si>
  <si>
    <t xml:space="preserve">0</t>
  </si>
  <si>
    <t xml:space="preserve">Author; IEA (2024) for depot-only heavy-duty charging</t>
  </si>
  <si>
    <t xml:space="preserve">Home-charge share, Light bus</t>
  </si>
  <si>
    <t xml:space="preserve">Assumptions!D10</t>
  </si>
  <si>
    <t xml:space="preserve">Home-charge share, Coach</t>
  </si>
  <si>
    <t xml:space="preserve">Assumptions!D11</t>
  </si>
  <si>
    <t xml:space="preserve">Logistic t50 / k, Motorcycle</t>
  </si>
  <si>
    <t xml:space="preserve">Assumptions!B16:C16</t>
  </si>
  <si>
    <t xml:space="preserve">2046.1 / 0.279</t>
  </si>
  <si>
    <t xml:space="preserve">year / 1/yr</t>
  </si>
  <si>
    <t xml:space="preserve">Author calibration; targets informed by FGN (2022) and RMI (2024)</t>
  </si>
  <si>
    <t xml:space="preserve">solved for &lt;1% stock share in 2025, ~60% in 2050, near-complete in 2060</t>
  </si>
  <si>
    <t xml:space="preserve">Logistic t50 / k, Private car</t>
  </si>
  <si>
    <t xml:space="preserve">Assumptions!B17:C17</t>
  </si>
  <si>
    <t xml:space="preserve">2048.4 / 0.254</t>
  </si>
  <si>
    <t xml:space="preserve">Logistic t50 / k, LCV</t>
  </si>
  <si>
    <t xml:space="preserve">Assumptions!B18:C18</t>
  </si>
  <si>
    <t xml:space="preserve">2049.1 / 0.224</t>
  </si>
  <si>
    <t xml:space="preserve">Logistic t50 / k, HGV</t>
  </si>
  <si>
    <t xml:space="preserve">Assumptions!B19:C19</t>
  </si>
  <si>
    <t xml:space="preserve">2053.1 / 0.201</t>
  </si>
  <si>
    <t xml:space="preserve">Logistic t50 / k, Light bus</t>
  </si>
  <si>
    <t xml:space="preserve">Assumptions!B20:C20</t>
  </si>
  <si>
    <t xml:space="preserve">2047.3 / 0.233</t>
  </si>
  <si>
    <t xml:space="preserve">Logistic t50 / k, Coach</t>
  </si>
  <si>
    <t xml:space="preserve">Assumptions!B21:C21</t>
  </si>
  <si>
    <t xml:space="preserve">2050 / 0.22</t>
  </si>
  <si>
    <t xml:space="preserve">EVs per home Level 2 charger</t>
  </si>
  <si>
    <t xml:space="preserve">Assumptions!B26</t>
  </si>
  <si>
    <t xml:space="preserve">1.2</t>
  </si>
  <si>
    <t xml:space="preserve">EVs per unit</t>
  </si>
  <si>
    <t xml:space="preserve">Author</t>
  </si>
  <si>
    <t xml:space="preserve">EVs per public AC charger</t>
  </si>
  <si>
    <t xml:space="preserve">Assumptions!B27</t>
  </si>
  <si>
    <t xml:space="preserve">12</t>
  </si>
  <si>
    <t xml:space="preserve">Hall and Lutsey (2020); EU AFID benchmark ~10</t>
  </si>
  <si>
    <t xml:space="preserve">observed range 4-39 (Hall and Lutsey, 2020)</t>
  </si>
  <si>
    <t xml:space="preserve">EVs per public DC fast charger</t>
  </si>
  <si>
    <t xml:space="preserve">Assumptions!B28</t>
  </si>
  <si>
    <t xml:space="preserve">60</t>
  </si>
  <si>
    <t xml:space="preserve">Early-market benchmark (Section 3.3)</t>
  </si>
  <si>
    <t xml:space="preserve">DC ratio varied +/-50%</t>
  </si>
  <si>
    <t xml:space="preserve">Heavy-duty vehicles per depot port</t>
  </si>
  <si>
    <t xml:space="preserve">Assumptions!B29</t>
  </si>
  <si>
    <t xml:space="preserve">2.5</t>
  </si>
  <si>
    <t xml:space="preserve">Commercial e-motorcycles per swap station</t>
  </si>
  <si>
    <t xml:space="preserve">Assumptions!B30</t>
  </si>
  <si>
    <t xml:space="preserve">250</t>
  </si>
  <si>
    <t xml:space="preserve">Ampersand/Spiro operating reports (Kuhudzai, 2025; Spiro, 2025)</t>
  </si>
  <si>
    <t xml:space="preserve">not located as a ratio</t>
  </si>
  <si>
    <t xml:space="preserve">CAPEX per unit, Home Level 2</t>
  </si>
  <si>
    <t xml:space="preserve">Assumptions!B35</t>
  </si>
  <si>
    <t xml:space="preserve">1500</t>
  </si>
  <si>
    <t xml:space="preserve">USD 2025 per port/station</t>
  </si>
  <si>
    <t xml:space="preserve">Pierce and Slowik (2023, 2024); Wood et al. (2023); Nicholas (2019); Kohli (2024b)</t>
  </si>
  <si>
    <t xml:space="preserve">all-in installed cost; varied +/-30%</t>
  </si>
  <si>
    <t xml:space="preserve">Rated power, Home Level 2</t>
  </si>
  <si>
    <t xml:space="preserve">Assumptions!C35</t>
  </si>
  <si>
    <t xml:space="preserve">7.4</t>
  </si>
  <si>
    <t xml:space="preserve">kW</t>
  </si>
  <si>
    <t xml:space="preserve">Typical product ratings (IEA, 2024)</t>
  </si>
  <si>
    <t xml:space="preserve">Within-category diversity factor, Home Level 2</t>
  </si>
  <si>
    <t xml:space="preserve">Assumptions!D35</t>
  </si>
  <si>
    <t xml:space="preserve">0.2</t>
  </si>
  <si>
    <t xml:space="preserve">share at system peak</t>
  </si>
  <si>
    <t xml:space="preserve">CAPEX per unit, Public AC</t>
  </si>
  <si>
    <t xml:space="preserve">Assumptions!B36</t>
  </si>
  <si>
    <t xml:space="preserve">5500</t>
  </si>
  <si>
    <t xml:space="preserve">Rated power, Public AC</t>
  </si>
  <si>
    <t xml:space="preserve">Assumptions!C36</t>
  </si>
  <si>
    <t xml:space="preserve">22</t>
  </si>
  <si>
    <t xml:space="preserve">Within-category diversity factor, Public AC</t>
  </si>
  <si>
    <t xml:space="preserve">Assumptions!D36</t>
  </si>
  <si>
    <t xml:space="preserve">CAPEX per unit, Public DC fast</t>
  </si>
  <si>
    <t xml:space="preserve">Assumptions!B37</t>
  </si>
  <si>
    <t xml:space="preserve">55000</t>
  </si>
  <si>
    <t xml:space="preserve">Rated power, Public DC fast</t>
  </si>
  <si>
    <t xml:space="preserve">Assumptions!C37</t>
  </si>
  <si>
    <t xml:space="preserve">100</t>
  </si>
  <si>
    <t xml:space="preserve">Within-category diversity factor, Public DC fast</t>
  </si>
  <si>
    <t xml:space="preserve">Assumptions!D37</t>
  </si>
  <si>
    <t xml:space="preserve">CAPEX per unit, Depot heavy-duty</t>
  </si>
  <si>
    <t xml:space="preserve">Assumptions!B38</t>
  </si>
  <si>
    <t xml:space="preserve">85000</t>
  </si>
  <si>
    <t xml:space="preserve">Rated power, Depot heavy-duty</t>
  </si>
  <si>
    <t xml:space="preserve">Assumptions!C38</t>
  </si>
  <si>
    <t xml:space="preserve">Within-category diversity factor, Depot heavy-duty</t>
  </si>
  <si>
    <t xml:space="preserve">Assumptions!D38</t>
  </si>
  <si>
    <t xml:space="preserve">0.6</t>
  </si>
  <si>
    <t xml:space="preserve">CAPEX per unit, Battery-swap station</t>
  </si>
  <si>
    <t xml:space="preserve">Assumptions!B39</t>
  </si>
  <si>
    <t xml:space="preserve">350000</t>
  </si>
  <si>
    <t xml:space="preserve">Rated power, Battery-swap station</t>
  </si>
  <si>
    <t xml:space="preserve">Assumptions!C39</t>
  </si>
  <si>
    <t xml:space="preserve">200</t>
  </si>
  <si>
    <t xml:space="preserve">Within-category diversity factor, Battery-swap station</t>
  </si>
  <si>
    <t xml:space="preserve">Assumptions!D39</t>
  </si>
  <si>
    <t xml:space="preserve">Grid-upgrade cost</t>
  </si>
  <si>
    <t xml:space="preserve">Assumptions!B43</t>
  </si>
  <si>
    <t xml:space="preserve">450</t>
  </si>
  <si>
    <t xml:space="preserve">USD per kW of new EV peak</t>
  </si>
  <si>
    <t xml:space="preserve">E3 (2021); ICCT (2023)</t>
  </si>
  <si>
    <t xml:space="preserve">USD 483/kW primary + USD 18/kW secondary (ICCT, 2023, citing E3)</t>
  </si>
  <si>
    <t xml:space="preserve">rounded down; varied +/-50%</t>
  </si>
  <si>
    <t xml:space="preserve">GDP per capita 2024 (and 2010-2024 history)</t>
  </si>
  <si>
    <t xml:space="preserve">Assumptions!B46; GDP and population path!B5:B19</t>
  </si>
  <si>
    <t xml:space="preserve">2,348.9</t>
  </si>
  <si>
    <t xml:space="preserve">constant 2015 US$</t>
  </si>
  <si>
    <t xml:space="preserve">observed data</t>
  </si>
  <si>
    <t xml:space="preserve">World Bank WDI GDP (NY.GDP.MKTP.KD) / UN WPP 2024 population (1 Jan)</t>
  </si>
  <si>
    <t xml:space="preserve">raw_data/macro_inputs_NGA.csv</t>
  </si>
  <si>
    <t xml:space="preserve">GDP divided by 1-January population</t>
  </si>
  <si>
    <t xml:space="preserve">Real GDP per capita growth 2024-2060</t>
  </si>
  <si>
    <t xml:space="preserve">Assumptions!B47</t>
  </si>
  <si>
    <t xml:space="preserve">0.025</t>
  </si>
  <si>
    <t xml:space="preserve">per year</t>
  </si>
  <si>
    <t xml:space="preserve">Author; IMF (2025) medium-term ~1.3% for comparison</t>
  </si>
  <si>
    <t xml:space="preserve">stylised; the source file's 5%/yr total-GDP path (about 3.4%/yr per capita) is reported as a sensitivity</t>
  </si>
  <si>
    <t xml:space="preserve">Population 2010-2060</t>
  </si>
  <si>
    <t xml:space="preserve">Assumptions!B48; GDP and population path!C5:C55</t>
  </si>
  <si>
    <t xml:space="preserve">397.9 (2060)</t>
  </si>
  <si>
    <t xml:space="preserve">million persons, 1 January</t>
  </si>
  <si>
    <t xml:space="preserve">observed data / projection</t>
  </si>
  <si>
    <t xml:space="preserve">UN WPP 2024 medium variant</t>
  </si>
  <si>
    <t xml:space="preserve">none</t>
  </si>
  <si>
    <t xml:space="preserve">Level 1 (Mode 2 socket) share of car/LCV home charging</t>
  </si>
  <si>
    <t xml:space="preserve">Assumptions!B51</t>
  </si>
  <si>
    <t xml:space="preserve">IEA (2024): socket charging most common in 220-240 V markets (qualitative)</t>
  </si>
  <si>
    <t xml:space="preserve">Assumptions!B52</t>
  </si>
  <si>
    <t xml:space="preserve">1</t>
  </si>
  <si>
    <t xml:space="preserve">EVs per socket</t>
  </si>
  <si>
    <t xml:space="preserve">Level 1 CAPEX</t>
  </si>
  <si>
    <t xml:space="preserve">Assumptions!B53</t>
  </si>
  <si>
    <t xml:space="preserve">USD per socket incl. Mode 2 cable</t>
  </si>
  <si>
    <t xml:space="preserve">IEA (2024): dedicated home charger "several hundred USD"</t>
  </si>
  <si>
    <t xml:space="preserve">socket assumed below dedicated charger cost</t>
  </si>
  <si>
    <t xml:space="preserve">Level 1 rated power</t>
  </si>
  <si>
    <t xml:space="preserve">Assumptions!B54</t>
  </si>
  <si>
    <t xml:space="preserve">2.3</t>
  </si>
  <si>
    <t xml:space="preserve">IEA (2024)</t>
  </si>
  <si>
    <t xml:space="preserve">Level 1 about 1-2.3 kW</t>
  </si>
  <si>
    <t xml:space="preserve">Assumptions!B55</t>
  </si>
  <si>
    <t xml:space="preserve">Motorcycle home charging on sockets</t>
  </si>
  <si>
    <t xml:space="preserve">Assumptions!B56</t>
  </si>
  <si>
    <t xml:space="preserve">Author; IEA (2024) small batteries charge overnight on sockets</t>
  </si>
  <si>
    <t xml:space="preserve">Generation-side gross-up kappa</t>
  </si>
  <si>
    <t xml:space="preserve">Assumptions!B59</t>
  </si>
  <si>
    <t xml:space="preserve">multiplier</t>
  </si>
  <si>
    <t xml:space="preserve">Author (network losses and delivery-risk margin)</t>
  </si>
  <si>
    <t xml:space="preserve">Eqn. 4</t>
  </si>
  <si>
    <t xml:space="preserve">Load factor LF</t>
  </si>
  <si>
    <t xml:space="preserve">Assumptions!B60</t>
  </si>
  <si>
    <t xml:space="preserve">0.61 (formula)</t>
  </si>
  <si>
    <t xml:space="preserve">mean/peak</t>
  </si>
  <si>
    <t xml:space="preserve">Load profile sheet (stylised hourly profiles); Lukuyu et al. (2024) for context</t>
  </si>
  <si>
    <t xml:space="preserve">hourly segment shares are author stylisations</t>
  </si>
  <si>
    <t xml:space="preserve">Charging-loss uplift lambda</t>
  </si>
  <si>
    <t xml:space="preserve">Assumptions!B61</t>
  </si>
  <si>
    <t xml:space="preserve">1.09</t>
  </si>
  <si>
    <t xml:space="preserve">ICCT (2024); Mesek (2017); Sevdari et al. (2023)</t>
  </si>
  <si>
    <t xml:space="preserve">order of magnitude only</t>
  </si>
  <si>
    <t xml:space="preserve">uniform across classes</t>
  </si>
  <si>
    <t xml:space="preserve">Assumptions!B62</t>
  </si>
  <si>
    <t xml:space="preserve">0.9</t>
  </si>
  <si>
    <t xml:space="preserve">tested 0.90-1.00</t>
  </si>
  <si>
    <t xml:space="preserve">V2G enrolment share</t>
  </si>
  <si>
    <t xml:space="preserve">Assumptions!B64</t>
  </si>
  <si>
    <t xml:space="preserve">0.1</t>
  </si>
  <si>
    <t xml:space="preserve">share of LDV EVs</t>
  </si>
  <si>
    <t xml:space="preserve">V2G availability factor</t>
  </si>
  <si>
    <t xml:space="preserve">Assumptions!B65</t>
  </si>
  <si>
    <t xml:space="preserve">Dioha et al. (2022a)</t>
  </si>
  <si>
    <t xml:space="preserve">sensitivity range 10-70% of parked grid-connected vehicles</t>
  </si>
  <si>
    <t xml:space="preserve">value chosen within range</t>
  </si>
  <si>
    <t xml:space="preserve">Bidirectional charger power</t>
  </si>
  <si>
    <t xml:space="preserve">Assumptions!B66</t>
  </si>
  <si>
    <t xml:space="preserve">7</t>
  </si>
  <si>
    <t xml:space="preserve">Author (typical residential unit)</t>
  </si>
  <si>
    <t xml:space="preserve">Energy per swap</t>
  </si>
  <si>
    <t xml:space="preserve">Assumptions!B69</t>
  </si>
  <si>
    <t xml:space="preserve">3.24</t>
  </si>
  <si>
    <t xml:space="preserve">kWh</t>
  </si>
  <si>
    <t xml:space="preserve">InsightEV (2025)</t>
  </si>
  <si>
    <t xml:space="preserve">Ampersand LFP pack size</t>
  </si>
  <si>
    <t xml:space="preserve">used only in throughput check</t>
  </si>
  <si>
    <t xml:space="preserve">Station operating days</t>
  </si>
  <si>
    <t xml:space="preserve">Assumptions!B71</t>
  </si>
  <si>
    <t xml:space="preserve">365</t>
  </si>
  <si>
    <t xml:space="preserve">days/yr</t>
  </si>
  <si>
    <t xml:space="preserve">Max equivalent swaps per station per day</t>
  </si>
  <si>
    <t xml:space="preserve">Assumptions!B72</t>
  </si>
  <si>
    <t xml:space="preserve">900</t>
  </si>
  <si>
    <t xml:space="preserve">swaps/day</t>
  </si>
  <si>
    <t xml:space="preserve">throughput check only</t>
  </si>
  <si>
    <t xml:space="preserve">Max annual utilisation: L1 / L2 / AC / DC / depot</t>
  </si>
  <si>
    <t xml:space="preserve">Assumptions!B75:B79</t>
  </si>
  <si>
    <t xml:space="preserve">0.35 / 0.30 / 0.25 / 0.30 / 0.40</t>
  </si>
  <si>
    <t xml:space="preserve">share of hours</t>
  </si>
  <si>
    <t xml:space="preserve">Private-car stock displaced by buses (composition test)</t>
  </si>
  <si>
    <t xml:space="preserve">Assumptions!B82</t>
  </si>
  <si>
    <t xml:space="preserve">sensitivity only</t>
  </si>
  <si>
    <t xml:space="preserve">Cars replaced per bus</t>
  </si>
  <si>
    <t xml:space="preserve">Assumptions!B83</t>
  </si>
  <si>
    <t xml:space="preserve">16</t>
  </si>
  <si>
    <t xml:space="preserve">cars per bus</t>
  </si>
  <si>
    <t xml:space="preserve">40 seats x 60% load / 1.5 occupants per car</t>
  </si>
  <si>
    <t xml:space="preserve">Income elasticity (Scenario C terminal rate)</t>
  </si>
  <si>
    <t xml:space="preserve">Assumptions!B85</t>
  </si>
  <si>
    <t xml:space="preserve">elasticity</t>
  </si>
  <si>
    <t xml:space="preserve">Dargay et al. (2007)</t>
  </si>
  <si>
    <t xml:space="preserve">Private-duty motorcycle VKT</t>
  </si>
  <si>
    <t xml:space="preserve">Assumptions!B88</t>
  </si>
  <si>
    <t xml:space="preserve">7659</t>
  </si>
  <si>
    <t xml:space="preserve">Commercial-duty (tricycle) VKT</t>
  </si>
  <si>
    <t xml:space="preserve">Assumptions!B89</t>
  </si>
  <si>
    <t xml:space="preserve">24933</t>
  </si>
  <si>
    <t xml:space="preserve">Complete-electrification switch</t>
  </si>
  <si>
    <t xml:space="preserve">Assumptions!B92</t>
  </si>
  <si>
    <t xml:space="preserve">0/1</t>
  </si>
  <si>
    <t xml:space="preserve">model switch</t>
  </si>
  <si>
    <t xml:space="preserve">1 = normalise class S-curves to 100% in 2060</t>
  </si>
  <si>
    <t xml:space="preserve">Gompertz saturation gamma</t>
  </si>
  <si>
    <t xml:space="preserve">'Gompertz fit'!B13</t>
  </si>
  <si>
    <t xml:space="preserve">300</t>
  </si>
  <si>
    <t xml:space="preserve">vehicles per 1,000</t>
  </si>
  <si>
    <t xml:space="preserve">Dargay et al. (2007) 850 high-income asymptote; Huo and Wang (2012); OICA (2023)</t>
  </si>
  <si>
    <t xml:space="preserve">varied +/-25% with refit</t>
  </si>
  <si>
    <t xml:space="preserve">Fleet class shares</t>
  </si>
  <si>
    <t xml:space="preserve">'Fleet projections' row 72</t>
  </si>
  <si>
    <t xml:space="preserve">39.7/46.5/8.1/5.5/0.08/0.08 %</t>
  </si>
  <si>
    <t xml:space="preserve">Table 22.4 (2035)</t>
  </si>
  <si>
    <t xml:space="preserve">normalised to sum to 1</t>
  </si>
  <si>
    <t xml:space="preserve">Hourly charging profiles (5 segments x 24 h)</t>
  </si>
  <si>
    <t xml:space="preserve">'Load profile'!B5:F28</t>
  </si>
  <si>
    <t xml:space="preserve">see sheet</t>
  </si>
  <si>
    <t xml:space="preserve">share of daily energy</t>
  </si>
  <si>
    <t xml:space="preserve">Author stylisation informed by Lukuyu et al. (2024)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</si>
</sst>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00"/>
    <numFmt numFmtId="167" formatCode="0%"/>
    <numFmt numFmtId="168" formatCode="0"/>
    <numFmt numFmtId="169" formatCode="0.00"/>
    <numFmt numFmtId="170" formatCode="0.0"/>
    <numFmt numFmtId="171" formatCode="\$#,##0"/>
    <numFmt numFmtId="172" formatCode="0.0%"/>
    <numFmt numFmtId="173" formatCode="#,##0.0"/>
    <numFmt numFmtId="174" formatCode="@"/>
    <numFmt numFmtId="175" formatCode="0.00%"/>
    <numFmt numFmtId="176" formatCode="0.0000"/>
    <numFmt numFmtId="177" formatCode="0.0000000"/>
    <numFmt numFmtId="178" formatCode="0.0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sz val="10"/>
      <name val="Arial"/>
      <family val="0"/>
      <charset val="1"/>
    </font>
    <font>
      <sz val="10"/>
      <color rgb="FFFF0000"/>
      <name val="Calibri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10"/>
      <name val="Calibri"/>
      <family val="0"/>
      <charset val="1"/>
    </font>
    <font>
      <sz val="11"/>
      <name val="Aptos Narrow"/>
      <family val="0"/>
      <charset val="1"/>
    </font>
    <font>
      <b val="true"/>
      <sz val="14"/>
      <name val="Cambria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FF2E75B6"/>
        <bgColor rgb="FF0070C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6" style="0" width="55"/>
  </cols>
  <sheetData>
    <row r="1" customFormat="false" ht="17.25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</row>
    <row r="5" customFormat="false" ht="26.2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true" outlineLevel="0" collapsed="false">
      <c r="A6" s="5" t="s">
        <v>8</v>
      </c>
      <c r="B6" s="6" t="n">
        <f aca="false">D6*B88+(1-D6)*B89</f>
        <v>16296</v>
      </c>
      <c r="C6" s="7" t="n">
        <v>0.03</v>
      </c>
      <c r="D6" s="8" t="n">
        <v>0.5</v>
      </c>
      <c r="E6" s="9" t="s">
        <v>9</v>
      </c>
      <c r="F6" s="10" t="s">
        <v>10</v>
      </c>
    </row>
    <row r="7" customFormat="false" ht="15" hidden="false" customHeight="true" outlineLevel="0" collapsed="false">
      <c r="A7" s="5" t="s">
        <v>11</v>
      </c>
      <c r="B7" s="6" t="n">
        <v>32500</v>
      </c>
      <c r="C7" s="7" t="n">
        <v>0.17</v>
      </c>
      <c r="D7" s="8" t="n">
        <v>0.4</v>
      </c>
      <c r="E7" s="11" t="s">
        <v>12</v>
      </c>
      <c r="F7" s="10" t="s">
        <v>13</v>
      </c>
    </row>
    <row r="8" customFormat="false" ht="15" hidden="false" customHeight="true" outlineLevel="0" collapsed="false">
      <c r="A8" s="5" t="s">
        <v>14</v>
      </c>
      <c r="B8" s="6" t="n">
        <v>20600</v>
      </c>
      <c r="C8" s="7" t="n">
        <v>0.22</v>
      </c>
      <c r="D8" s="8" t="n">
        <v>0.3</v>
      </c>
      <c r="E8" s="11" t="s">
        <v>12</v>
      </c>
      <c r="F8" s="10" t="s">
        <v>15</v>
      </c>
    </row>
    <row r="9" customFormat="false" ht="15" hidden="false" customHeight="true" outlineLevel="0" collapsed="false">
      <c r="A9" s="5" t="s">
        <v>16</v>
      </c>
      <c r="B9" s="6" t="n">
        <v>33700</v>
      </c>
      <c r="C9" s="7" t="n">
        <v>1.3</v>
      </c>
      <c r="D9" s="8" t="n">
        <v>0</v>
      </c>
      <c r="E9" s="11" t="s">
        <v>12</v>
      </c>
      <c r="F9" s="10" t="s">
        <v>17</v>
      </c>
    </row>
    <row r="10" customFormat="false" ht="15" hidden="false" customHeight="true" outlineLevel="0" collapsed="false">
      <c r="A10" s="5" t="s">
        <v>18</v>
      </c>
      <c r="B10" s="6" t="n">
        <v>21400</v>
      </c>
      <c r="C10" s="7" t="n">
        <v>0.7</v>
      </c>
      <c r="D10" s="8" t="n">
        <v>0</v>
      </c>
      <c r="E10" s="11" t="s">
        <v>12</v>
      </c>
      <c r="F10" s="10" t="s">
        <v>19</v>
      </c>
    </row>
    <row r="11" customFormat="false" ht="15" hidden="false" customHeight="true" outlineLevel="0" collapsed="false">
      <c r="A11" s="5" t="s">
        <v>20</v>
      </c>
      <c r="B11" s="6" t="n">
        <v>33200</v>
      </c>
      <c r="C11" s="7" t="n">
        <v>1.5</v>
      </c>
      <c r="D11" s="8" t="n">
        <v>0</v>
      </c>
      <c r="E11" s="11" t="s">
        <v>12</v>
      </c>
      <c r="F11" s="10" t="s">
        <v>21</v>
      </c>
    </row>
    <row r="14" customFormat="false" ht="15" hidden="false" customHeight="true" outlineLevel="0" collapsed="false">
      <c r="A14" s="3" t="s">
        <v>22</v>
      </c>
      <c r="B14" s="3"/>
      <c r="C14" s="3"/>
      <c r="D14" s="3"/>
      <c r="E14" s="3"/>
      <c r="F14" s="3"/>
    </row>
    <row r="15" customFormat="false" ht="26.25" hidden="false" customHeight="true" outlineLevel="0" collapsed="false">
      <c r="A15" s="4" t="s">
        <v>2</v>
      </c>
      <c r="B15" s="4" t="s">
        <v>23</v>
      </c>
      <c r="C15" s="4" t="s">
        <v>24</v>
      </c>
      <c r="D15" s="4"/>
      <c r="E15" s="4"/>
      <c r="F15" s="4" t="s">
        <v>25</v>
      </c>
    </row>
    <row r="16" customFormat="false" ht="15" hidden="false" customHeight="true" outlineLevel="0" collapsed="false">
      <c r="A16" s="5" t="s">
        <v>8</v>
      </c>
      <c r="B16" s="12" t="n">
        <v>2046.1</v>
      </c>
      <c r="C16" s="13" t="n">
        <v>0.279</v>
      </c>
      <c r="F16" s="10" t="s">
        <v>26</v>
      </c>
    </row>
    <row r="17" customFormat="false" ht="15" hidden="false" customHeight="true" outlineLevel="0" collapsed="false">
      <c r="A17" s="5" t="s">
        <v>11</v>
      </c>
      <c r="B17" s="12" t="n">
        <v>2048.4</v>
      </c>
      <c r="C17" s="13" t="n">
        <v>0.254</v>
      </c>
      <c r="F17" s="10" t="s">
        <v>27</v>
      </c>
    </row>
    <row r="18" customFormat="false" ht="15" hidden="false" customHeight="true" outlineLevel="0" collapsed="false">
      <c r="A18" s="5" t="s">
        <v>14</v>
      </c>
      <c r="B18" s="12" t="n">
        <v>2049.1</v>
      </c>
      <c r="C18" s="13" t="n">
        <v>0.224</v>
      </c>
      <c r="F18" s="10" t="s">
        <v>28</v>
      </c>
    </row>
    <row r="19" customFormat="false" ht="15" hidden="false" customHeight="true" outlineLevel="0" collapsed="false">
      <c r="A19" s="5" t="s">
        <v>16</v>
      </c>
      <c r="B19" s="12" t="n">
        <v>2053.1</v>
      </c>
      <c r="C19" s="13" t="n">
        <v>0.201</v>
      </c>
      <c r="F19" s="10" t="s">
        <v>29</v>
      </c>
    </row>
    <row r="20" customFormat="false" ht="15" hidden="false" customHeight="true" outlineLevel="0" collapsed="false">
      <c r="A20" s="5" t="s">
        <v>18</v>
      </c>
      <c r="B20" s="12" t="n">
        <v>2047.3</v>
      </c>
      <c r="C20" s="13" t="n">
        <v>0.233</v>
      </c>
      <c r="F20" s="10" t="s">
        <v>30</v>
      </c>
    </row>
    <row r="21" customFormat="false" ht="15" hidden="false" customHeight="true" outlineLevel="0" collapsed="false">
      <c r="A21" s="5" t="s">
        <v>20</v>
      </c>
      <c r="B21" s="12" t="n">
        <v>2050</v>
      </c>
      <c r="C21" s="13" t="n">
        <v>0.22</v>
      </c>
      <c r="F21" s="10" t="s">
        <v>31</v>
      </c>
    </row>
    <row r="24" customFormat="false" ht="15" hidden="false" customHeight="true" outlineLevel="0" collapsed="false">
      <c r="A24" s="3" t="s">
        <v>32</v>
      </c>
      <c r="B24" s="3"/>
      <c r="C24" s="3"/>
      <c r="D24" s="3"/>
      <c r="E24" s="3"/>
      <c r="F24" s="3"/>
    </row>
    <row r="25" customFormat="false" ht="26.25" hidden="false" customHeight="true" outlineLevel="0" collapsed="false">
      <c r="A25" s="4" t="s">
        <v>33</v>
      </c>
      <c r="B25" s="4" t="s">
        <v>34</v>
      </c>
      <c r="C25" s="4"/>
      <c r="D25" s="4"/>
      <c r="E25" s="4"/>
      <c r="F25" s="4"/>
    </row>
    <row r="26" customFormat="false" ht="15" hidden="false" customHeight="true" outlineLevel="0" collapsed="false">
      <c r="A26" s="5" t="s">
        <v>35</v>
      </c>
      <c r="B26" s="14" t="n">
        <v>1.2</v>
      </c>
      <c r="F26" s="15"/>
    </row>
    <row r="27" customFormat="false" ht="15" hidden="false" customHeight="true" outlineLevel="0" collapsed="false">
      <c r="A27" s="5" t="s">
        <v>36</v>
      </c>
      <c r="B27" s="14" t="n">
        <v>12</v>
      </c>
      <c r="F27" s="15"/>
    </row>
    <row r="28" customFormat="false" ht="15" hidden="false" customHeight="true" outlineLevel="0" collapsed="false">
      <c r="A28" s="5" t="s">
        <v>37</v>
      </c>
      <c r="B28" s="14" t="n">
        <v>60</v>
      </c>
      <c r="F28" s="15"/>
    </row>
    <row r="29" customFormat="false" ht="15" hidden="false" customHeight="true" outlineLevel="0" collapsed="false">
      <c r="A29" s="5" t="s">
        <v>38</v>
      </c>
      <c r="B29" s="14" t="n">
        <v>2.5</v>
      </c>
      <c r="F29" s="15"/>
    </row>
    <row r="30" customFormat="false" ht="15" hidden="false" customHeight="true" outlineLevel="0" collapsed="false">
      <c r="A30" s="5" t="s">
        <v>39</v>
      </c>
      <c r="B30" s="14" t="n">
        <v>250</v>
      </c>
      <c r="F30" s="15"/>
    </row>
    <row r="33" customFormat="false" ht="15" hidden="false" customHeight="true" outlineLevel="0" collapsed="false">
      <c r="A33" s="3" t="s">
        <v>40</v>
      </c>
      <c r="B33" s="3"/>
      <c r="C33" s="3"/>
      <c r="D33" s="3"/>
      <c r="E33" s="3"/>
      <c r="F33" s="3"/>
    </row>
    <row r="34" customFormat="false" ht="26.25" hidden="false" customHeight="true" outlineLevel="0" collapsed="false">
      <c r="A34" s="4" t="s">
        <v>33</v>
      </c>
      <c r="B34" s="4" t="s">
        <v>41</v>
      </c>
      <c r="C34" s="4" t="s">
        <v>42</v>
      </c>
      <c r="D34" s="4" t="s">
        <v>43</v>
      </c>
      <c r="E34" s="4"/>
      <c r="F34" s="4"/>
    </row>
    <row r="35" customFormat="false" ht="15" hidden="false" customHeight="true" outlineLevel="0" collapsed="false">
      <c r="A35" s="5" t="s">
        <v>35</v>
      </c>
      <c r="B35" s="16" t="n">
        <v>1500</v>
      </c>
      <c r="C35" s="14" t="n">
        <v>7.4</v>
      </c>
      <c r="D35" s="13" t="n">
        <v>0.2</v>
      </c>
      <c r="F35" s="15"/>
    </row>
    <row r="36" customFormat="false" ht="15" hidden="false" customHeight="true" outlineLevel="0" collapsed="false">
      <c r="A36" s="5" t="s">
        <v>36</v>
      </c>
      <c r="B36" s="16" t="n">
        <v>5500</v>
      </c>
      <c r="C36" s="14" t="n">
        <v>22</v>
      </c>
      <c r="D36" s="13" t="n">
        <v>0.3</v>
      </c>
      <c r="F36" s="15"/>
    </row>
    <row r="37" customFormat="false" ht="15" hidden="false" customHeight="true" outlineLevel="0" collapsed="false">
      <c r="A37" s="5" t="s">
        <v>37</v>
      </c>
      <c r="B37" s="16" t="n">
        <v>55000</v>
      </c>
      <c r="C37" s="14" t="n">
        <v>100</v>
      </c>
      <c r="D37" s="13" t="n">
        <v>0.4</v>
      </c>
      <c r="F37" s="15"/>
    </row>
    <row r="38" customFormat="false" ht="15" hidden="false" customHeight="true" outlineLevel="0" collapsed="false">
      <c r="A38" s="5" t="s">
        <v>38</v>
      </c>
      <c r="B38" s="16" t="n">
        <v>85000</v>
      </c>
      <c r="C38" s="14" t="n">
        <v>250</v>
      </c>
      <c r="D38" s="13" t="n">
        <v>0.6</v>
      </c>
      <c r="F38" s="15"/>
    </row>
    <row r="39" customFormat="false" ht="15" hidden="false" customHeight="true" outlineLevel="0" collapsed="false">
      <c r="A39" s="5" t="s">
        <v>44</v>
      </c>
      <c r="B39" s="16" t="n">
        <v>350000</v>
      </c>
      <c r="C39" s="14" t="n">
        <v>200</v>
      </c>
      <c r="D39" s="13" t="n">
        <v>0.5</v>
      </c>
      <c r="F39" s="15"/>
    </row>
    <row r="42" customFormat="false" ht="15" hidden="false" customHeight="true" outlineLevel="0" collapsed="false">
      <c r="A42" s="3" t="s">
        <v>45</v>
      </c>
      <c r="B42" s="3"/>
      <c r="C42" s="3"/>
      <c r="D42" s="3"/>
      <c r="E42" s="3"/>
      <c r="F42" s="3"/>
    </row>
    <row r="43" customFormat="false" ht="33" hidden="false" customHeight="true" outlineLevel="0" collapsed="false">
      <c r="A43" s="17" t="s">
        <v>46</v>
      </c>
      <c r="B43" s="16" t="n">
        <v>450</v>
      </c>
      <c r="F43" s="15"/>
    </row>
    <row r="45" customFormat="false" ht="15" hidden="false" customHeight="true" outlineLevel="0" collapsed="false">
      <c r="A45" s="3" t="s">
        <v>47</v>
      </c>
      <c r="B45" s="3"/>
      <c r="C45" s="3"/>
      <c r="D45" s="3"/>
      <c r="E45" s="3"/>
      <c r="F45" s="3"/>
    </row>
    <row r="46" customFormat="false" ht="52.5" hidden="false" customHeight="true" outlineLevel="0" collapsed="false">
      <c r="A46" s="17" t="s">
        <v>48</v>
      </c>
      <c r="B46" s="16" t="n">
        <f aca="false">'GDP and Population'!B19</f>
        <v>2348.90928903668</v>
      </c>
      <c r="F46" s="10" t="s">
        <v>49</v>
      </c>
    </row>
    <row r="47" customFormat="false" ht="38.25" hidden="false" customHeight="true" outlineLevel="0" collapsed="false">
      <c r="A47" s="17" t="s">
        <v>50</v>
      </c>
      <c r="B47" s="18" t="n">
        <v>0.025</v>
      </c>
      <c r="F47" s="10" t="s">
        <v>51</v>
      </c>
    </row>
    <row r="48" customFormat="false" ht="36" hidden="false" customHeight="true" outlineLevel="0" collapsed="false">
      <c r="A48" s="17" t="s">
        <v>52</v>
      </c>
      <c r="B48" s="19" t="n">
        <f aca="false">'GDP and Population'!D55</f>
        <v>397.911853</v>
      </c>
      <c r="F48" s="10" t="s">
        <v>53</v>
      </c>
    </row>
    <row r="50" customFormat="false" ht="15" hidden="false" customHeight="true" outlineLevel="0" collapsed="false">
      <c r="A50" s="20" t="s">
        <v>54</v>
      </c>
      <c r="B50" s="20"/>
      <c r="C50" s="20"/>
      <c r="D50" s="20"/>
      <c r="E50" s="20"/>
    </row>
    <row r="51" customFormat="false" ht="63.75" hidden="false" customHeight="true" outlineLevel="0" collapsed="false">
      <c r="A51" s="5" t="s">
        <v>55</v>
      </c>
      <c r="B51" s="21" t="n">
        <v>0.7</v>
      </c>
      <c r="C51" s="22" t="s">
        <v>56</v>
      </c>
      <c r="D51" s="22"/>
      <c r="E51" s="22"/>
    </row>
    <row r="52" customFormat="false" ht="14.25" hidden="false" customHeight="true" outlineLevel="0" collapsed="false">
      <c r="A52" s="5" t="s">
        <v>57</v>
      </c>
      <c r="B52" s="23" t="n">
        <v>1</v>
      </c>
      <c r="C52" s="22" t="s">
        <v>58</v>
      </c>
      <c r="D52" s="22"/>
      <c r="E52" s="22"/>
    </row>
    <row r="53" customFormat="false" ht="29.25" hidden="false" customHeight="true" outlineLevel="0" collapsed="false">
      <c r="A53" s="24" t="s">
        <v>59</v>
      </c>
      <c r="B53" s="25" t="n">
        <v>200</v>
      </c>
      <c r="C53" s="22" t="s">
        <v>60</v>
      </c>
      <c r="D53" s="22"/>
      <c r="E53" s="22"/>
    </row>
    <row r="54" customFormat="false" ht="14.25" hidden="false" customHeight="true" outlineLevel="0" collapsed="false">
      <c r="A54" s="5" t="s">
        <v>61</v>
      </c>
      <c r="B54" s="23" t="n">
        <v>2.3</v>
      </c>
      <c r="C54" s="22"/>
      <c r="D54" s="22"/>
      <c r="E54" s="22"/>
    </row>
    <row r="55" customFormat="false" ht="23.25" hidden="false" customHeight="true" outlineLevel="0" collapsed="false">
      <c r="A55" s="5" t="s">
        <v>62</v>
      </c>
      <c r="B55" s="26" t="n">
        <v>0.3</v>
      </c>
      <c r="C55" s="22" t="s">
        <v>63</v>
      </c>
      <c r="D55" s="22"/>
      <c r="E55" s="22"/>
    </row>
    <row r="56" customFormat="false" ht="39.75" hidden="false" customHeight="true" outlineLevel="0" collapsed="false">
      <c r="A56" s="24" t="s">
        <v>64</v>
      </c>
      <c r="B56" s="21" t="n">
        <v>1</v>
      </c>
      <c r="C56" s="22" t="s">
        <v>65</v>
      </c>
      <c r="D56" s="22"/>
      <c r="E56" s="22"/>
    </row>
    <row r="58" customFormat="false" ht="15" hidden="false" customHeight="true" outlineLevel="0" collapsed="false">
      <c r="A58" s="20" t="s">
        <v>66</v>
      </c>
      <c r="B58" s="20"/>
      <c r="C58" s="20"/>
      <c r="D58" s="20"/>
      <c r="E58" s="20"/>
    </row>
    <row r="59" customFormat="false" ht="42.75" hidden="false" customHeight="true" outlineLevel="0" collapsed="false">
      <c r="A59" s="24" t="s">
        <v>67</v>
      </c>
      <c r="B59" s="26" t="n">
        <v>1.2</v>
      </c>
      <c r="C59" s="22" t="s">
        <v>68</v>
      </c>
      <c r="D59" s="22"/>
      <c r="E59" s="22"/>
    </row>
    <row r="60" customFormat="false" ht="30" hidden="false" customHeight="true" outlineLevel="0" collapsed="false">
      <c r="A60" s="24" t="s">
        <v>69</v>
      </c>
      <c r="B60" s="27" t="n">
        <f aca="false">'Load profile'!B32</f>
        <v>0.608143486972413</v>
      </c>
      <c r="C60" s="22" t="s">
        <v>70</v>
      </c>
      <c r="D60" s="22"/>
      <c r="E60" s="22"/>
    </row>
    <row r="61" customFormat="false" ht="44.25" hidden="false" customHeight="true" outlineLevel="0" collapsed="false">
      <c r="A61" s="24" t="s">
        <v>71</v>
      </c>
      <c r="B61" s="26" t="n">
        <v>1.09</v>
      </c>
      <c r="C61" s="22" t="s">
        <v>72</v>
      </c>
      <c r="D61" s="22"/>
      <c r="E61" s="22"/>
    </row>
    <row r="62" customFormat="false" ht="57" hidden="false" customHeight="true" outlineLevel="0" collapsed="false">
      <c r="A62" s="24" t="s">
        <v>73</v>
      </c>
      <c r="B62" s="26" t="n">
        <v>0.9</v>
      </c>
      <c r="C62" s="22" t="s">
        <v>74</v>
      </c>
      <c r="D62" s="22"/>
      <c r="E62" s="22"/>
    </row>
    <row r="63" customFormat="false" ht="15" hidden="false" customHeight="true" outlineLevel="0" collapsed="false">
      <c r="A63" s="20" t="s">
        <v>75</v>
      </c>
      <c r="B63" s="20"/>
      <c r="C63" s="20"/>
      <c r="D63" s="20"/>
      <c r="E63" s="20"/>
    </row>
    <row r="64" customFormat="false" ht="34.5" hidden="false" customHeight="true" outlineLevel="0" collapsed="false">
      <c r="A64" s="24" t="s">
        <v>76</v>
      </c>
      <c r="B64" s="21" t="n">
        <v>0.1</v>
      </c>
      <c r="C64" s="28" t="s">
        <v>77</v>
      </c>
      <c r="D64" s="28"/>
      <c r="E64" s="28"/>
    </row>
    <row r="65" customFormat="false" ht="42" hidden="false" customHeight="true" outlineLevel="0" collapsed="false">
      <c r="A65" s="24" t="s">
        <v>78</v>
      </c>
      <c r="B65" s="21" t="n">
        <v>0.3</v>
      </c>
      <c r="C65" s="28" t="s">
        <v>79</v>
      </c>
      <c r="D65" s="28"/>
      <c r="E65" s="28"/>
    </row>
    <row r="66" customFormat="false" ht="29.25" hidden="false" customHeight="true" outlineLevel="0" collapsed="false">
      <c r="A66" s="24" t="s">
        <v>80</v>
      </c>
      <c r="B66" s="23" t="n">
        <v>7</v>
      </c>
      <c r="C66" s="28" t="s">
        <v>81</v>
      </c>
      <c r="D66" s="28"/>
      <c r="E66" s="28"/>
    </row>
    <row r="68" customFormat="false" ht="15" hidden="false" customHeight="true" outlineLevel="0" collapsed="false">
      <c r="A68" s="20" t="s">
        <v>82</v>
      </c>
      <c r="B68" s="20"/>
      <c r="C68" s="20"/>
      <c r="D68" s="20"/>
      <c r="E68" s="20"/>
    </row>
    <row r="69" customFormat="false" ht="14.25" hidden="false" customHeight="true" outlineLevel="0" collapsed="false">
      <c r="A69" s="24" t="s">
        <v>83</v>
      </c>
      <c r="B69" s="26" t="n">
        <v>3.24</v>
      </c>
      <c r="C69" s="22" t="s">
        <v>84</v>
      </c>
      <c r="D69" s="22"/>
      <c r="E69" s="22"/>
    </row>
    <row r="70" customFormat="false" ht="69.75" hidden="false" customHeight="true" outlineLevel="0" collapsed="false">
      <c r="A70" s="24" t="s">
        <v>85</v>
      </c>
      <c r="B70" s="29" t="s">
        <v>86</v>
      </c>
      <c r="C70" s="22" t="s">
        <v>87</v>
      </c>
      <c r="D70" s="22"/>
      <c r="E70" s="22"/>
    </row>
    <row r="71" customFormat="false" ht="15" hidden="false" customHeight="true" outlineLevel="0" collapsed="false">
      <c r="A71" s="24" t="s">
        <v>88</v>
      </c>
      <c r="B71" s="30" t="n">
        <v>365</v>
      </c>
      <c r="C71" s="31"/>
      <c r="D71" s="31"/>
      <c r="E71" s="31"/>
    </row>
    <row r="72" customFormat="false" ht="42.75" hidden="false" customHeight="true" outlineLevel="0" collapsed="false">
      <c r="A72" s="24" t="s">
        <v>89</v>
      </c>
      <c r="B72" s="30" t="n">
        <v>900</v>
      </c>
      <c r="C72" s="22" t="s">
        <v>90</v>
      </c>
      <c r="D72" s="22"/>
      <c r="E72" s="22"/>
    </row>
    <row r="74" customFormat="false" ht="15" hidden="false" customHeight="true" outlineLevel="0" collapsed="false">
      <c r="A74" s="20" t="s">
        <v>91</v>
      </c>
      <c r="B74" s="20"/>
      <c r="C74" s="20"/>
      <c r="D74" s="20"/>
      <c r="E74" s="20"/>
    </row>
    <row r="75" customFormat="false" ht="14.25" hidden="false" customHeight="true" outlineLevel="0" collapsed="false">
      <c r="A75" s="5" t="s">
        <v>92</v>
      </c>
      <c r="B75" s="21" t="n">
        <v>0.35</v>
      </c>
      <c r="C75" s="28" t="s">
        <v>93</v>
      </c>
      <c r="D75" s="28"/>
      <c r="E75" s="28"/>
    </row>
    <row r="76" customFormat="false" ht="15" hidden="false" customHeight="true" outlineLevel="0" collapsed="false">
      <c r="A76" s="5" t="s">
        <v>94</v>
      </c>
      <c r="B76" s="21" t="n">
        <v>0.3</v>
      </c>
    </row>
    <row r="77" customFormat="false" ht="15" hidden="false" customHeight="true" outlineLevel="0" collapsed="false">
      <c r="A77" s="5" t="s">
        <v>95</v>
      </c>
      <c r="B77" s="21" t="n">
        <v>0.25</v>
      </c>
    </row>
    <row r="78" customFormat="false" ht="14.25" hidden="false" customHeight="true" outlineLevel="0" collapsed="false">
      <c r="A78" s="5" t="s">
        <v>96</v>
      </c>
      <c r="B78" s="21" t="n">
        <v>0.3</v>
      </c>
      <c r="C78" s="28" t="s">
        <v>97</v>
      </c>
      <c r="D78" s="28"/>
      <c r="E78" s="28"/>
    </row>
    <row r="79" customFormat="false" ht="14.25" hidden="false" customHeight="true" outlineLevel="0" collapsed="false">
      <c r="A79" s="5" t="s">
        <v>98</v>
      </c>
      <c r="B79" s="21" t="n">
        <v>0.4</v>
      </c>
      <c r="C79" s="28" t="s">
        <v>99</v>
      </c>
      <c r="D79" s="28"/>
      <c r="E79" s="28"/>
    </row>
    <row r="81" customFormat="false" ht="15" hidden="false" customHeight="true" outlineLevel="0" collapsed="false">
      <c r="A81" s="20" t="s">
        <v>100</v>
      </c>
      <c r="B81" s="20"/>
      <c r="C81" s="20"/>
      <c r="D81" s="20"/>
      <c r="E81" s="20"/>
    </row>
    <row r="82" customFormat="false" ht="54" hidden="false" customHeight="true" outlineLevel="0" collapsed="false">
      <c r="A82" s="5" t="s">
        <v>101</v>
      </c>
      <c r="B82" s="32" t="n">
        <v>0.1</v>
      </c>
      <c r="C82" s="22" t="s">
        <v>102</v>
      </c>
      <c r="D82" s="22"/>
      <c r="E82" s="22"/>
    </row>
    <row r="83" customFormat="false" ht="42" hidden="false" customHeight="true" outlineLevel="0" collapsed="false">
      <c r="A83" s="5" t="s">
        <v>103</v>
      </c>
      <c r="B83" s="23" t="n">
        <f aca="false">(B10*40*0.6)/(B7*1.5)</f>
        <v>10.5353846153846</v>
      </c>
      <c r="C83" s="22" t="s">
        <v>104</v>
      </c>
      <c r="D83" s="22"/>
      <c r="E83" s="22"/>
    </row>
    <row r="84" customFormat="false" ht="15" hidden="false" customHeight="true" outlineLevel="0" collapsed="false">
      <c r="A84" s="20" t="s">
        <v>105</v>
      </c>
      <c r="B84" s="20"/>
      <c r="C84" s="20"/>
      <c r="D84" s="20"/>
      <c r="E84" s="20"/>
    </row>
    <row r="85" customFormat="false" ht="57" hidden="false" customHeight="true" outlineLevel="0" collapsed="false">
      <c r="A85" s="24" t="s">
        <v>106</v>
      </c>
      <c r="B85" s="26" t="n">
        <v>0.9</v>
      </c>
      <c r="C85" s="22" t="s">
        <v>107</v>
      </c>
      <c r="D85" s="22"/>
      <c r="E85" s="22"/>
    </row>
    <row r="87" customFormat="false" ht="15" hidden="false" customHeight="true" outlineLevel="0" collapsed="false">
      <c r="A87" s="20" t="s">
        <v>108</v>
      </c>
      <c r="B87" s="20"/>
      <c r="C87" s="20"/>
      <c r="D87" s="20"/>
      <c r="E87" s="20"/>
    </row>
    <row r="88" customFormat="false" ht="28.5" hidden="false" customHeight="true" outlineLevel="0" collapsed="false">
      <c r="A88" s="24" t="s">
        <v>109</v>
      </c>
      <c r="B88" s="25" t="n">
        <v>7659</v>
      </c>
      <c r="C88" s="22" t="s">
        <v>110</v>
      </c>
      <c r="D88" s="22"/>
      <c r="E88" s="22"/>
    </row>
    <row r="89" customFormat="false" ht="68.25" hidden="false" customHeight="true" outlineLevel="0" collapsed="false">
      <c r="A89" s="24" t="s">
        <v>111</v>
      </c>
      <c r="B89" s="25" t="n">
        <v>24933</v>
      </c>
      <c r="C89" s="22" t="s">
        <v>112</v>
      </c>
      <c r="D89" s="22"/>
      <c r="E89" s="22"/>
    </row>
    <row r="91" customFormat="false" ht="15" hidden="false" customHeight="true" outlineLevel="0" collapsed="false">
      <c r="A91" s="20" t="s">
        <v>113</v>
      </c>
      <c r="B91" s="20"/>
      <c r="C91" s="20"/>
      <c r="D91" s="20"/>
      <c r="E91" s="20"/>
    </row>
    <row r="92" customFormat="false" ht="56.25" hidden="false" customHeight="true" outlineLevel="0" collapsed="false">
      <c r="A92" s="24" t="s">
        <v>114</v>
      </c>
      <c r="B92" s="30" t="n">
        <v>0</v>
      </c>
      <c r="C92" s="22" t="s">
        <v>115</v>
      </c>
      <c r="D92" s="22"/>
      <c r="E92" s="22"/>
    </row>
  </sheetData>
  <mergeCells count="40">
    <mergeCell ref="A4:F4"/>
    <mergeCell ref="A14:F14"/>
    <mergeCell ref="A24:F24"/>
    <mergeCell ref="A33:F33"/>
    <mergeCell ref="A42:F42"/>
    <mergeCell ref="A45:F45"/>
    <mergeCell ref="A50:E50"/>
    <mergeCell ref="C51:E51"/>
    <mergeCell ref="C52:E52"/>
    <mergeCell ref="C53:E53"/>
    <mergeCell ref="C54:E54"/>
    <mergeCell ref="C55:E55"/>
    <mergeCell ref="C56:E56"/>
    <mergeCell ref="A58:E58"/>
    <mergeCell ref="C59:E59"/>
    <mergeCell ref="C60:E60"/>
    <mergeCell ref="C61:E61"/>
    <mergeCell ref="C62:E62"/>
    <mergeCell ref="A63:E63"/>
    <mergeCell ref="C64:E64"/>
    <mergeCell ref="C65:E65"/>
    <mergeCell ref="C66:E66"/>
    <mergeCell ref="A68:E68"/>
    <mergeCell ref="C69:E69"/>
    <mergeCell ref="C70:E70"/>
    <mergeCell ref="C72:E72"/>
    <mergeCell ref="A74:E74"/>
    <mergeCell ref="C75:E75"/>
    <mergeCell ref="C78:E78"/>
    <mergeCell ref="C79:E79"/>
    <mergeCell ref="A81:E81"/>
    <mergeCell ref="C82:E82"/>
    <mergeCell ref="C83:E83"/>
    <mergeCell ref="A84:E84"/>
    <mergeCell ref="C85:E85"/>
    <mergeCell ref="A87:E87"/>
    <mergeCell ref="C88:E88"/>
    <mergeCell ref="C89:E89"/>
    <mergeCell ref="A91:E91"/>
    <mergeCell ref="C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25" hidden="false" customHeight="true" outlineLevel="0" collapsed="false">
      <c r="A1" s="33" t="s">
        <v>116</v>
      </c>
      <c r="B1" s="33"/>
      <c r="C1" s="33"/>
      <c r="D1" s="33"/>
      <c r="E1" s="33"/>
      <c r="F1" s="33"/>
    </row>
    <row r="2" customFormat="false" ht="24.75" hidden="false" customHeight="true" outlineLevel="0" collapsed="false">
      <c r="A2" s="34" t="s">
        <v>117</v>
      </c>
      <c r="B2" s="34"/>
      <c r="C2" s="34"/>
      <c r="D2" s="34"/>
      <c r="E2" s="34"/>
      <c r="F2" s="34"/>
    </row>
    <row r="4" customFormat="false" ht="53.25" hidden="false" customHeight="true" outlineLevel="0" collapsed="false">
      <c r="A4" s="35" t="s">
        <v>118</v>
      </c>
      <c r="B4" s="36" t="s">
        <v>119</v>
      </c>
      <c r="C4" s="36" t="s">
        <v>120</v>
      </c>
      <c r="D4" s="35" t="s">
        <v>121</v>
      </c>
      <c r="E4" s="36" t="s">
        <v>122</v>
      </c>
      <c r="F4" s="36" t="s">
        <v>123</v>
      </c>
    </row>
    <row r="5" customFormat="false" ht="15" hidden="false" customHeight="true" outlineLevel="0" collapsed="false">
      <c r="A5" s="5" t="n">
        <v>2010</v>
      </c>
      <c r="B5" s="37" t="n">
        <f aca="false">C5/(D5*1000000)</f>
        <v>2348.42320800384</v>
      </c>
      <c r="C5" s="38" t="n">
        <v>385856064172.751</v>
      </c>
      <c r="D5" s="39" t="n">
        <v>164.304314</v>
      </c>
    </row>
    <row r="6" customFormat="false" ht="15" hidden="false" customHeight="true" outlineLevel="0" collapsed="false">
      <c r="A6" s="5" t="n">
        <v>2011</v>
      </c>
      <c r="B6" s="37" t="n">
        <f aca="false">C6/(D6*1000000)</f>
        <v>2404.62485532649</v>
      </c>
      <c r="C6" s="38" t="n">
        <v>406337011591.485</v>
      </c>
      <c r="D6" s="39" t="n">
        <v>168.981457</v>
      </c>
      <c r="E6" s="40" t="n">
        <f aca="false">B6/B5-1</f>
        <v>0.0239316521532844</v>
      </c>
      <c r="F6" s="40" t="n">
        <f aca="false">D6/D5-1</f>
        <v>0.0284663432513403</v>
      </c>
    </row>
    <row r="7" customFormat="false" ht="15" hidden="false" customHeight="true" outlineLevel="0" collapsed="false">
      <c r="A7" s="5" t="n">
        <v>2012</v>
      </c>
      <c r="B7" s="37" t="n">
        <f aca="false">C7/(D7*1000000)</f>
        <v>2437.16669714141</v>
      </c>
      <c r="C7" s="38" t="n">
        <v>423525315758.166</v>
      </c>
      <c r="D7" s="39" t="n">
        <v>173.777738</v>
      </c>
      <c r="E7" s="40" t="n">
        <f aca="false">B7/B6-1</f>
        <v>0.0135330223102528</v>
      </c>
      <c r="F7" s="40" t="n">
        <f aca="false">D7/D6-1</f>
        <v>0.0283834752353922</v>
      </c>
    </row>
    <row r="8" customFormat="false" ht="15" hidden="false" customHeight="true" outlineLevel="0" collapsed="false">
      <c r="A8" s="5" t="n">
        <v>2013</v>
      </c>
      <c r="B8" s="37" t="n">
        <f aca="false">C8/(D8*1000000)</f>
        <v>2529.23093672145</v>
      </c>
      <c r="C8" s="38" t="n">
        <v>451780110047.004</v>
      </c>
      <c r="D8" s="39" t="n">
        <v>178.623511</v>
      </c>
      <c r="E8" s="40" t="n">
        <f aca="false">B8/B7-1</f>
        <v>0.0377751097977901</v>
      </c>
      <c r="F8" s="40" t="n">
        <f aca="false">D8/D7-1</f>
        <v>0.0278848893751857</v>
      </c>
    </row>
    <row r="9" customFormat="false" ht="15" hidden="false" customHeight="true" outlineLevel="0" collapsed="false">
      <c r="A9" s="5" t="n">
        <v>2014</v>
      </c>
      <c r="B9" s="37" t="n">
        <f aca="false">C9/(D9*1000000)</f>
        <v>2617.71457848884</v>
      </c>
      <c r="C9" s="38" t="n">
        <v>480286163931.207</v>
      </c>
      <c r="D9" s="39" t="n">
        <v>183.475375</v>
      </c>
      <c r="E9" s="40" t="n">
        <f aca="false">B9/B8-1</f>
        <v>0.0349844059246287</v>
      </c>
      <c r="F9" s="40" t="n">
        <f aca="false">D9/D8-1</f>
        <v>0.0271625161370834</v>
      </c>
    </row>
    <row r="10" customFormat="false" ht="15" hidden="false" customHeight="true" outlineLevel="0" collapsed="false">
      <c r="A10" s="5" t="n">
        <v>2015</v>
      </c>
      <c r="B10" s="37" t="n">
        <f aca="false">C10/(D10*1000000)</f>
        <v>2618.0476193936</v>
      </c>
      <c r="C10" s="38" t="n">
        <v>493026682800.63</v>
      </c>
      <c r="D10" s="39" t="n">
        <v>188.318455</v>
      </c>
      <c r="E10" s="40" t="n">
        <f aca="false">B10/B9-1</f>
        <v>0.000127225828014943</v>
      </c>
      <c r="F10" s="40" t="n">
        <f aca="false">D10/D9-1</f>
        <v>0.0263963488288277</v>
      </c>
    </row>
    <row r="11" customFormat="false" ht="15" hidden="false" customHeight="true" outlineLevel="0" collapsed="false">
      <c r="A11" s="5" t="n">
        <v>2016</v>
      </c>
      <c r="B11" s="37" t="n">
        <f aca="false">C11/(D11*1000000)</f>
        <v>2512.90936961663</v>
      </c>
      <c r="C11" s="38" t="n">
        <v>485055087455.971</v>
      </c>
      <c r="D11" s="39" t="n">
        <v>193.025301</v>
      </c>
      <c r="E11" s="40" t="n">
        <f aca="false">B11/B10-1</f>
        <v>-0.040159028811445</v>
      </c>
      <c r="F11" s="40" t="n">
        <f aca="false">D11/D10-1</f>
        <v>0.024994077186965</v>
      </c>
    </row>
    <row r="12" customFormat="false" ht="15" hidden="false" customHeight="true" outlineLevel="0" collapsed="false">
      <c r="A12" s="5" t="n">
        <v>2017</v>
      </c>
      <c r="B12" s="37" t="n">
        <f aca="false">C12/(D12*1000000)</f>
        <v>2471.23670461517</v>
      </c>
      <c r="C12" s="38" t="n">
        <v>488964081501.001</v>
      </c>
      <c r="D12" s="39" t="n">
        <v>197.862099</v>
      </c>
      <c r="E12" s="40" t="n">
        <f aca="false">B12/B11-1</f>
        <v>-0.0165834333324242</v>
      </c>
      <c r="F12" s="40" t="n">
        <f aca="false">D12/D11-1</f>
        <v>0.0250578446190326</v>
      </c>
    </row>
    <row r="13" customFormat="false" ht="15" hidden="false" customHeight="true" outlineLevel="0" collapsed="false">
      <c r="A13" s="5" t="n">
        <v>2018</v>
      </c>
      <c r="B13" s="37" t="n">
        <f aca="false">C13/(D13*1000000)</f>
        <v>2459.27909931856</v>
      </c>
      <c r="C13" s="38" t="n">
        <v>498365674277.795</v>
      </c>
      <c r="D13" s="39" t="n">
        <v>202.647058</v>
      </c>
      <c r="E13" s="40" t="n">
        <f aca="false">B13/B12-1</f>
        <v>-0.00483871305176298</v>
      </c>
      <c r="F13" s="40" t="n">
        <f aca="false">D13/D12-1</f>
        <v>0.0241833025333467</v>
      </c>
    </row>
    <row r="14" customFormat="false" ht="15" hidden="false" customHeight="true" outlineLevel="0" collapsed="false">
      <c r="A14" s="5" t="n">
        <v>2019</v>
      </c>
      <c r="B14" s="37" t="n">
        <f aca="false">C14/(D14*1000000)</f>
        <v>2457.99652166854</v>
      </c>
      <c r="C14" s="38" t="n">
        <v>509371727741.802</v>
      </c>
      <c r="D14" s="39" t="n">
        <v>207.230451</v>
      </c>
      <c r="E14" s="40" t="n">
        <f aca="false">B14/B13-1</f>
        <v>-0.000521525861125083</v>
      </c>
      <c r="F14" s="40" t="n">
        <f aca="false">D14/D13-1</f>
        <v>0.0226176143154271</v>
      </c>
    </row>
    <row r="15" customFormat="false" ht="15" hidden="false" customHeight="true" outlineLevel="0" collapsed="false">
      <c r="A15" s="5" t="n">
        <v>2020</v>
      </c>
      <c r="B15" s="37" t="n">
        <f aca="false">C15/(D15*1000000)</f>
        <v>2252.42508800646</v>
      </c>
      <c r="C15" s="38" t="n">
        <v>476930359899.737</v>
      </c>
      <c r="D15" s="39" t="n">
        <v>211.740831</v>
      </c>
      <c r="E15" s="40" t="n">
        <f aca="false">B15/B14-1</f>
        <v>-0.0836337366020865</v>
      </c>
      <c r="F15" s="40" t="n">
        <f aca="false">D15/D14-1</f>
        <v>0.0217650445590161</v>
      </c>
    </row>
    <row r="16" customFormat="false" ht="15" hidden="false" customHeight="true" outlineLevel="0" collapsed="false">
      <c r="A16" s="5" t="n">
        <v>2021</v>
      </c>
      <c r="B16" s="37" t="n">
        <f aca="false">C16/(D16*1000000)</f>
        <v>2229.90662679814</v>
      </c>
      <c r="C16" s="38" t="n">
        <v>482220722032.144</v>
      </c>
      <c r="D16" s="39" t="n">
        <v>216.251531</v>
      </c>
      <c r="E16" s="40" t="n">
        <f aca="false">B16/B15-1</f>
        <v>-0.00999742958299776</v>
      </c>
      <c r="F16" s="40" t="n">
        <f aca="false">D16/D15-1</f>
        <v>0.0213029295233096</v>
      </c>
    </row>
    <row r="17" customFormat="false" ht="15" hidden="false" customHeight="true" outlineLevel="0" collapsed="false">
      <c r="A17" s="5" t="n">
        <v>2022</v>
      </c>
      <c r="B17" s="37" t="n">
        <f aca="false">C17/(D17*1000000)</f>
        <v>2278.21997085463</v>
      </c>
      <c r="C17" s="38" t="n">
        <v>503047012789.736</v>
      </c>
      <c r="D17" s="39" t="n">
        <v>220.807042</v>
      </c>
      <c r="E17" s="40" t="n">
        <f aca="false">B17/B16-1</f>
        <v>0.0216660838960125</v>
      </c>
      <c r="F17" s="40" t="n">
        <f aca="false">D17/D16-1</f>
        <v>0.0210657976798323</v>
      </c>
    </row>
    <row r="18" customFormat="false" ht="15" hidden="false" customHeight="true" outlineLevel="0" collapsed="false">
      <c r="A18" s="5" t="n">
        <v>2023</v>
      </c>
      <c r="B18" s="37" t="n">
        <f aca="false">C18/(D18*1000000)</f>
        <v>2304.83223892973</v>
      </c>
      <c r="C18" s="38" t="n">
        <v>519727567204.567</v>
      </c>
      <c r="D18" s="39" t="n">
        <v>225.494749</v>
      </c>
      <c r="E18" s="40" t="n">
        <f aca="false">B18/B17-1</f>
        <v>0.0116811670582975</v>
      </c>
      <c r="F18" s="40" t="n">
        <f aca="false">D18/D17-1</f>
        <v>0.0212298799781938</v>
      </c>
    </row>
    <row r="19" customFormat="false" ht="15" hidden="false" customHeight="true" outlineLevel="0" collapsed="false">
      <c r="A19" s="5" t="n">
        <v>2024</v>
      </c>
      <c r="B19" s="37" t="n">
        <f aca="false">C19/(D19*1000000)</f>
        <v>2348.90928903668</v>
      </c>
      <c r="C19" s="38" t="n">
        <v>540886022091.974</v>
      </c>
      <c r="D19" s="39" t="n">
        <v>230.271141</v>
      </c>
      <c r="E19" s="40" t="n">
        <f aca="false">B19/B18-1</f>
        <v>0.0191237563248485</v>
      </c>
      <c r="F19" s="40" t="n">
        <f aca="false">D19/D18-1</f>
        <v>0.0211818324869284</v>
      </c>
    </row>
    <row r="20" customFormat="false" ht="15" hidden="false" customHeight="true" outlineLevel="0" collapsed="false">
      <c r="A20" s="5" t="n">
        <v>2025</v>
      </c>
      <c r="B20" s="41" t="n">
        <f aca="false">B19*(1+Assumptions!$B$47)</f>
        <v>2407.63202126259</v>
      </c>
      <c r="C20" s="38"/>
      <c r="D20" s="42" t="n">
        <v>235.087814</v>
      </c>
      <c r="E20" s="40" t="n">
        <f aca="false">B20/B19-1</f>
        <v>0.0249999999999999</v>
      </c>
      <c r="F20" s="40" t="n">
        <f aca="false">D20/D19-1</f>
        <v>0.0209173975474417</v>
      </c>
    </row>
    <row r="21" customFormat="false" ht="15" hidden="false" customHeight="true" outlineLevel="0" collapsed="false">
      <c r="A21" s="5" t="n">
        <v>2026</v>
      </c>
      <c r="B21" s="41" t="n">
        <f aca="false">B20*(1+Assumptions!$B$47)</f>
        <v>2467.82282179416</v>
      </c>
      <c r="C21" s="43"/>
      <c r="D21" s="42" t="n">
        <v>239.967749</v>
      </c>
      <c r="E21" s="40" t="n">
        <f aca="false">B21/B20-1</f>
        <v>0.0249999999999999</v>
      </c>
      <c r="F21" s="40" t="n">
        <f aca="false">D21/D20-1</f>
        <v>0.020757924100651</v>
      </c>
    </row>
    <row r="22" customFormat="false" ht="15" hidden="false" customHeight="true" outlineLevel="0" collapsed="false">
      <c r="A22" s="5" t="n">
        <v>2027</v>
      </c>
      <c r="B22" s="41" t="n">
        <f aca="false">B21*(1+Assumptions!$B$47)</f>
        <v>2529.51839233901</v>
      </c>
      <c r="C22" s="43"/>
      <c r="D22" s="42" t="n">
        <v>244.895915</v>
      </c>
      <c r="E22" s="40" t="n">
        <f aca="false">B22/B21-1</f>
        <v>0.0249999999999999</v>
      </c>
      <c r="F22" s="40" t="n">
        <f aca="false">D22/D21-1</f>
        <v>0.0205367847160163</v>
      </c>
    </row>
    <row r="23" customFormat="false" ht="15" hidden="false" customHeight="true" outlineLevel="0" collapsed="false">
      <c r="A23" s="5" t="n">
        <v>2028</v>
      </c>
      <c r="B23" s="41" t="n">
        <f aca="false">B22*(1+Assumptions!$B$47)</f>
        <v>2592.75635214749</v>
      </c>
      <c r="C23" s="43"/>
      <c r="D23" s="42" t="n">
        <v>249.85261</v>
      </c>
      <c r="E23" s="40" t="n">
        <f aca="false">B23/B22-1</f>
        <v>0.0249999999999999</v>
      </c>
      <c r="F23" s="40" t="n">
        <f aca="false">D23/D22-1</f>
        <v>0.0202400068616906</v>
      </c>
    </row>
    <row r="24" customFormat="false" ht="15" hidden="false" customHeight="true" outlineLevel="0" collapsed="false">
      <c r="A24" s="5" t="n">
        <v>2029</v>
      </c>
      <c r="B24" s="41" t="n">
        <f aca="false">B23*(1+Assumptions!$B$47)</f>
        <v>2657.57526095117</v>
      </c>
      <c r="C24" s="43"/>
      <c r="D24" s="42" t="n">
        <v>254.839645</v>
      </c>
      <c r="E24" s="40" t="n">
        <f aca="false">B24/B23-1</f>
        <v>0.0249999999999999</v>
      </c>
      <c r="F24" s="40" t="n">
        <f aca="false">D24/D23-1</f>
        <v>0.019959907563103</v>
      </c>
    </row>
    <row r="25" customFormat="false" ht="15" hidden="false" customHeight="true" outlineLevel="0" collapsed="false">
      <c r="A25" s="5" t="n">
        <v>2030</v>
      </c>
      <c r="B25" s="41" t="n">
        <f aca="false">B24*(1+Assumptions!$B$47)</f>
        <v>2724.01464247495</v>
      </c>
      <c r="C25" s="43"/>
      <c r="D25" s="39" t="n">
        <v>259.865631</v>
      </c>
      <c r="E25" s="40" t="n">
        <f aca="false">B25/B24-1</f>
        <v>0.0249999999999999</v>
      </c>
      <c r="F25" s="40" t="n">
        <f aca="false">D25/D24-1</f>
        <v>0.0197221511590162</v>
      </c>
    </row>
    <row r="26" customFormat="false" ht="15" hidden="false" customHeight="true" outlineLevel="0" collapsed="false">
      <c r="A26" s="5" t="n">
        <v>2031</v>
      </c>
      <c r="B26" s="41" t="n">
        <f aca="false">B25*(1+Assumptions!$B$47)</f>
        <v>2792.11500853682</v>
      </c>
      <c r="C26" s="43"/>
      <c r="D26" s="42" t="n">
        <v>264.896308</v>
      </c>
      <c r="E26" s="40" t="n">
        <f aca="false">B26/B25-1</f>
        <v>0.0249999999999999</v>
      </c>
      <c r="F26" s="40" t="n">
        <f aca="false">D26/D25-1</f>
        <v>0.0193587623751599</v>
      </c>
    </row>
    <row r="27" customFormat="false" ht="15" hidden="false" customHeight="true" outlineLevel="0" collapsed="false">
      <c r="A27" s="5" t="n">
        <v>2032</v>
      </c>
      <c r="B27" s="41" t="n">
        <f aca="false">B26*(1+Assumptions!$B$47)</f>
        <v>2861.91788375025</v>
      </c>
      <c r="C27" s="43"/>
      <c r="D27" s="42" t="n">
        <v>269.945841</v>
      </c>
      <c r="E27" s="40" t="n">
        <f aca="false">B27/B26-1</f>
        <v>0.0249999999999999</v>
      </c>
      <c r="F27" s="40" t="n">
        <f aca="false">D27/D26-1</f>
        <v>0.0190623004077506</v>
      </c>
    </row>
    <row r="28" customFormat="false" ht="15" hidden="false" customHeight="true" outlineLevel="0" collapsed="false">
      <c r="A28" s="5" t="n">
        <v>2033</v>
      </c>
      <c r="B28" s="41" t="n">
        <f aca="false">B27*(1+Assumptions!$B$47)</f>
        <v>2933.465830844</v>
      </c>
      <c r="C28" s="43"/>
      <c r="D28" s="42" t="n">
        <v>275.021443</v>
      </c>
      <c r="E28" s="40" t="n">
        <f aca="false">B28/B27-1</f>
        <v>0.0249999999999999</v>
      </c>
      <c r="F28" s="40" t="n">
        <f aca="false">D28/D27-1</f>
        <v>0.0188022974578816</v>
      </c>
    </row>
    <row r="29" customFormat="false" ht="15" hidden="false" customHeight="true" outlineLevel="0" collapsed="false">
      <c r="A29" s="5" t="n">
        <v>2034</v>
      </c>
      <c r="B29" s="41" t="n">
        <f aca="false">B28*(1+Assumptions!$B$47)</f>
        <v>3006.8024766151</v>
      </c>
      <c r="C29" s="43"/>
      <c r="D29" s="42" t="n">
        <v>280.088787</v>
      </c>
      <c r="E29" s="40" t="n">
        <f aca="false">B29/B28-1</f>
        <v>0.0249999999999999</v>
      </c>
      <c r="F29" s="40" t="n">
        <f aca="false">D29/D28-1</f>
        <v>0.0184252687525899</v>
      </c>
    </row>
    <row r="30" customFormat="false" ht="15" hidden="false" customHeight="true" outlineLevel="0" collapsed="false">
      <c r="A30" s="5" t="n">
        <v>2035</v>
      </c>
      <c r="B30" s="41" t="n">
        <f aca="false">B29*(1+Assumptions!$B$47)</f>
        <v>3081.97253853048</v>
      </c>
      <c r="C30" s="43"/>
      <c r="D30" s="39" t="n">
        <v>285.156007</v>
      </c>
      <c r="E30" s="40" t="n">
        <f aca="false">B30/B29-1</f>
        <v>0.0249999999999999</v>
      </c>
      <c r="F30" s="40" t="n">
        <f aca="false">D30/D29-1</f>
        <v>0.0180914775427978</v>
      </c>
    </row>
    <row r="31" customFormat="false" ht="15" hidden="false" customHeight="true" outlineLevel="0" collapsed="false">
      <c r="A31" s="5" t="n">
        <v>2036</v>
      </c>
      <c r="B31" s="41" t="n">
        <f aca="false">B30*(1+Assumptions!$B$47)</f>
        <v>3159.02185199374</v>
      </c>
      <c r="C31" s="43"/>
      <c r="D31" s="42" t="n">
        <v>290.215518</v>
      </c>
      <c r="E31" s="40" t="n">
        <f aca="false">B31/B30-1</f>
        <v>0.0249999999999999</v>
      </c>
      <c r="F31" s="40" t="n">
        <f aca="false">D31/D30-1</f>
        <v>0.0177429578048482</v>
      </c>
    </row>
    <row r="32" customFormat="false" ht="15" hidden="false" customHeight="true" outlineLevel="0" collapsed="false">
      <c r="A32" s="5" t="n">
        <v>2037</v>
      </c>
      <c r="B32" s="41" t="n">
        <f aca="false">B31*(1+Assumptions!$B$47)</f>
        <v>3237.99739829358</v>
      </c>
      <c r="C32" s="43"/>
      <c r="D32" s="42" t="n">
        <v>295.263274</v>
      </c>
      <c r="E32" s="40" t="n">
        <f aca="false">B32/B31-1</f>
        <v>0.0249999999999999</v>
      </c>
      <c r="F32" s="40" t="n">
        <f aca="false">D32/D31-1</f>
        <v>0.0173931291985567</v>
      </c>
    </row>
    <row r="33" customFormat="false" ht="15" hidden="false" customHeight="true" outlineLevel="0" collapsed="false">
      <c r="A33" s="5" t="n">
        <v>2038</v>
      </c>
      <c r="B33" s="41" t="n">
        <f aca="false">B32*(1+Assumptions!$B$47)</f>
        <v>3318.94733325092</v>
      </c>
      <c r="C33" s="43"/>
      <c r="D33" s="42" t="n">
        <v>300.283214</v>
      </c>
      <c r="E33" s="40" t="n">
        <f aca="false">B33/B32-1</f>
        <v>0.0249999999999999</v>
      </c>
      <c r="F33" s="40" t="n">
        <f aca="false">D33/D32-1</f>
        <v>0.0170015726371711</v>
      </c>
    </row>
    <row r="34" customFormat="false" ht="15" hidden="false" customHeight="true" outlineLevel="0" collapsed="false">
      <c r="A34" s="5" t="n">
        <v>2039</v>
      </c>
      <c r="B34" s="41" t="n">
        <f aca="false">B33*(1+Assumptions!$B$47)</f>
        <v>3401.92101658219</v>
      </c>
      <c r="C34" s="43"/>
      <c r="D34" s="42" t="n">
        <v>305.281503</v>
      </c>
      <c r="E34" s="40" t="n">
        <f aca="false">B34/B33-1</f>
        <v>0.0249999999999999</v>
      </c>
      <c r="F34" s="40" t="n">
        <f aca="false">D34/D33-1</f>
        <v>0.0166452494410827</v>
      </c>
    </row>
    <row r="35" customFormat="false" ht="15" hidden="false" customHeight="true" outlineLevel="0" collapsed="false">
      <c r="A35" s="5" t="n">
        <v>2040</v>
      </c>
      <c r="B35" s="41" t="n">
        <f aca="false">B34*(1+Assumptions!$B$47)</f>
        <v>3486.96904199675</v>
      </c>
      <c r="C35" s="43"/>
      <c r="D35" s="39" t="n">
        <v>310.248009</v>
      </c>
      <c r="E35" s="40" t="n">
        <f aca="false">B35/B34-1</f>
        <v>0.0249999999999999</v>
      </c>
      <c r="F35" s="40" t="n">
        <f aca="false">D35/D34-1</f>
        <v>0.0162686109416856</v>
      </c>
    </row>
    <row r="36" customFormat="false" ht="15" hidden="false" customHeight="true" outlineLevel="0" collapsed="false">
      <c r="A36" s="5" t="n">
        <v>2041</v>
      </c>
      <c r="B36" s="41" t="n">
        <f aca="false">B35*(1+Assumptions!$B$47)</f>
        <v>3574.14326804667</v>
      </c>
      <c r="C36" s="43"/>
      <c r="D36" s="42" t="n">
        <v>315.172822</v>
      </c>
      <c r="E36" s="40" t="n">
        <f aca="false">B36/B35-1</f>
        <v>0.0249999999999999</v>
      </c>
      <c r="F36" s="40" t="n">
        <f aca="false">D36/D35-1</f>
        <v>0.0158737940522931</v>
      </c>
    </row>
    <row r="37" customFormat="false" ht="15" hidden="false" customHeight="true" outlineLevel="0" collapsed="false">
      <c r="A37" s="5" t="n">
        <v>2042</v>
      </c>
      <c r="B37" s="41" t="n">
        <f aca="false">B36*(1+Assumptions!$B$47)</f>
        <v>3663.49684974783</v>
      </c>
      <c r="C37" s="43"/>
      <c r="D37" s="42" t="n">
        <v>320.041666</v>
      </c>
      <c r="E37" s="40" t="n">
        <f aca="false">B37/B36-1</f>
        <v>0.0249999999999999</v>
      </c>
      <c r="F37" s="40" t="n">
        <f aca="false">D37/D36-1</f>
        <v>0.0154481721142823</v>
      </c>
    </row>
    <row r="38" customFormat="false" ht="15" hidden="false" customHeight="true" outlineLevel="0" collapsed="false">
      <c r="A38" s="5" t="n">
        <v>2043</v>
      </c>
      <c r="B38" s="41" t="n">
        <f aca="false">B37*(1+Assumptions!$B$47)</f>
        <v>3755.08427099153</v>
      </c>
      <c r="C38" s="43"/>
      <c r="D38" s="42" t="n">
        <v>324.858953</v>
      </c>
      <c r="E38" s="40" t="n">
        <f aca="false">B38/B37-1</f>
        <v>0.0249999999999999</v>
      </c>
      <c r="F38" s="40" t="n">
        <f aca="false">D38/D37-1</f>
        <v>0.0150520620024517</v>
      </c>
    </row>
    <row r="39" customFormat="false" ht="15" hidden="false" customHeight="true" outlineLevel="0" collapsed="false">
      <c r="A39" s="5" t="n">
        <v>2044</v>
      </c>
      <c r="B39" s="41" t="n">
        <f aca="false">B38*(1+Assumptions!$B$47)</f>
        <v>3848.96137776632</v>
      </c>
      <c r="C39" s="43"/>
      <c r="D39" s="42" t="n">
        <v>329.628926</v>
      </c>
      <c r="E39" s="40" t="n">
        <f aca="false">B39/B38-1</f>
        <v>0.0249999999999999</v>
      </c>
      <c r="F39" s="40" t="n">
        <f aca="false">D39/D38-1</f>
        <v>0.0146832123786349</v>
      </c>
    </row>
    <row r="40" customFormat="false" ht="15" hidden="false" customHeight="true" outlineLevel="0" collapsed="false">
      <c r="A40" s="5" t="n">
        <v>2045</v>
      </c>
      <c r="B40" s="41" t="n">
        <f aca="false">B39*(1+Assumptions!$B$47)</f>
        <v>3945.18541221048</v>
      </c>
      <c r="C40" s="43"/>
      <c r="D40" s="39" t="n">
        <v>334.33779</v>
      </c>
      <c r="E40" s="40" t="n">
        <f aca="false">B40/B39-1</f>
        <v>0.0249999999999999</v>
      </c>
      <c r="F40" s="40" t="n">
        <f aca="false">D40/D39-1</f>
        <v>0.0142853482464096</v>
      </c>
    </row>
    <row r="41" customFormat="false" ht="15" hidden="false" customHeight="true" outlineLevel="0" collapsed="false">
      <c r="A41" s="5" t="n">
        <v>2046</v>
      </c>
      <c r="B41" s="41" t="n">
        <f aca="false">B40*(1+Assumptions!$B$47)</f>
        <v>4043.81504751574</v>
      </c>
      <c r="C41" s="43"/>
      <c r="D41" s="42" t="n">
        <v>338.987213</v>
      </c>
      <c r="E41" s="40" t="n">
        <f aca="false">B41/B40-1</f>
        <v>0.0249999999999999</v>
      </c>
      <c r="F41" s="40" t="n">
        <f aca="false">D41/D40-1</f>
        <v>0.0139063639799737</v>
      </c>
    </row>
    <row r="42" customFormat="false" ht="15" hidden="false" customHeight="true" outlineLevel="0" collapsed="false">
      <c r="A42" s="5" t="n">
        <v>2047</v>
      </c>
      <c r="B42" s="41" t="n">
        <f aca="false">B41*(1+Assumptions!$B$47)</f>
        <v>4144.91042370363</v>
      </c>
      <c r="C42" s="43"/>
      <c r="D42" s="42" t="n">
        <v>343.576313</v>
      </c>
      <c r="E42" s="40" t="n">
        <f aca="false">B42/B41-1</f>
        <v>0.0249999999999999</v>
      </c>
      <c r="F42" s="40" t="n">
        <f aca="false">D42/D41-1</f>
        <v>0.0135376787796417</v>
      </c>
    </row>
    <row r="43" customFormat="false" ht="15" hidden="false" customHeight="true" outlineLevel="0" collapsed="false">
      <c r="A43" s="5" t="n">
        <v>2048</v>
      </c>
      <c r="B43" s="41" t="n">
        <f aca="false">B42*(1+Assumptions!$B$47)</f>
        <v>4248.53318429622</v>
      </c>
      <c r="C43" s="43"/>
      <c r="D43" s="42" t="n">
        <v>348.111705</v>
      </c>
      <c r="E43" s="40" t="n">
        <f aca="false">B43/B42-1</f>
        <v>0.0249999999999999</v>
      </c>
      <c r="F43" s="40" t="n">
        <f aca="false">D43/D42-1</f>
        <v>0.0132005374887412</v>
      </c>
    </row>
    <row r="44" customFormat="false" ht="15" hidden="false" customHeight="true" outlineLevel="0" collapsed="false">
      <c r="A44" s="5" t="n">
        <v>2049</v>
      </c>
      <c r="B44" s="41" t="n">
        <f aca="false">B43*(1+Assumptions!$B$47)</f>
        <v>4354.74651390363</v>
      </c>
      <c r="C44" s="43"/>
      <c r="D44" s="42" t="n">
        <v>352.583833</v>
      </c>
      <c r="E44" s="40" t="n">
        <f aca="false">B44/B43-1</f>
        <v>0.0249999999999999</v>
      </c>
      <c r="F44" s="40" t="n">
        <f aca="false">D44/D43-1</f>
        <v>0.0128468188106461</v>
      </c>
    </row>
    <row r="45" customFormat="false" ht="15" hidden="false" customHeight="true" outlineLevel="0" collapsed="false">
      <c r="A45" s="5" t="n">
        <v>2050</v>
      </c>
      <c r="B45" s="41" t="n">
        <f aca="false">B44*(1+Assumptions!$B$47)</f>
        <v>4463.61517675122</v>
      </c>
      <c r="C45" s="43"/>
      <c r="D45" s="39" t="n">
        <v>357.001017</v>
      </c>
      <c r="E45" s="40" t="n">
        <f aca="false">B45/B44-1</f>
        <v>0.0249999999999999</v>
      </c>
      <c r="F45" s="40" t="n">
        <f aca="false">D45/D44-1</f>
        <v>0.0125280389699547</v>
      </c>
    </row>
    <row r="46" customFormat="false" ht="15" hidden="false" customHeight="true" outlineLevel="0" collapsed="false">
      <c r="A46" s="5" t="n">
        <v>2051</v>
      </c>
      <c r="B46" s="41" t="n">
        <f aca="false">B45*(1+Assumptions!$B$47)</f>
        <v>4575.20555617</v>
      </c>
      <c r="C46" s="43"/>
      <c r="D46" s="42" t="n">
        <v>361.370094</v>
      </c>
      <c r="E46" s="40" t="n">
        <f aca="false">B46/B45-1</f>
        <v>0.0249999999999999</v>
      </c>
      <c r="F46" s="40" t="n">
        <f aca="false">D46/D45-1</f>
        <v>0.0122382760607094</v>
      </c>
    </row>
    <row r="47" customFormat="false" ht="15" hidden="false" customHeight="true" outlineLevel="0" collapsed="false">
      <c r="A47" s="5" t="n">
        <v>2052</v>
      </c>
      <c r="B47" s="41" t="n">
        <f aca="false">B46*(1+Assumptions!$B$47)</f>
        <v>4689.58569507424</v>
      </c>
      <c r="C47" s="43"/>
      <c r="D47" s="42" t="n">
        <v>365.677127</v>
      </c>
      <c r="E47" s="40" t="n">
        <f aca="false">B47/B46-1</f>
        <v>0.0249999999999999</v>
      </c>
      <c r="F47" s="40" t="n">
        <f aca="false">D47/D46-1</f>
        <v>0.0119186204711228</v>
      </c>
    </row>
    <row r="48" customFormat="false" ht="15" hidden="false" customHeight="true" outlineLevel="0" collapsed="false">
      <c r="A48" s="5" t="n">
        <v>2053</v>
      </c>
      <c r="B48" s="41" t="n">
        <f aca="false">B47*(1+Assumptions!$B$47)</f>
        <v>4806.8253374511</v>
      </c>
      <c r="C48" s="43"/>
      <c r="D48" s="42" t="n">
        <v>369.930286</v>
      </c>
      <c r="E48" s="40" t="n">
        <f aca="false">B48/B47-1</f>
        <v>0.0249999999999999</v>
      </c>
      <c r="F48" s="40" t="n">
        <f aca="false">D48/D47-1</f>
        <v>0.0116309134095773</v>
      </c>
    </row>
    <row r="49" customFormat="false" ht="15" hidden="false" customHeight="true" outlineLevel="0" collapsed="false">
      <c r="A49" s="5" t="n">
        <v>2054</v>
      </c>
      <c r="B49" s="41" t="n">
        <f aca="false">B48*(1+Assumptions!$B$47)</f>
        <v>4926.99597088738</v>
      </c>
      <c r="C49" s="43"/>
      <c r="D49" s="42" t="n">
        <v>374.117559</v>
      </c>
      <c r="E49" s="40" t="n">
        <f aca="false">B49/B48-1</f>
        <v>0.0249999999999999</v>
      </c>
      <c r="F49" s="40" t="n">
        <f aca="false">D49/D48-1</f>
        <v>0.0113190867535511</v>
      </c>
    </row>
    <row r="50" customFormat="false" ht="15" hidden="false" customHeight="true" outlineLevel="0" collapsed="false">
      <c r="A50" s="5" t="n">
        <v>2055</v>
      </c>
      <c r="B50" s="41" t="n">
        <f aca="false">B49*(1+Assumptions!$B$47)</f>
        <v>5050.17087015956</v>
      </c>
      <c r="C50" s="43"/>
      <c r="D50" s="39" t="n">
        <v>378.237281</v>
      </c>
      <c r="E50" s="40" t="n">
        <f aca="false">B50/B49-1</f>
        <v>0.0249999999999999</v>
      </c>
      <c r="F50" s="40" t="n">
        <f aca="false">D50/D49-1</f>
        <v>0.0110118381265285</v>
      </c>
    </row>
    <row r="51" customFormat="false" ht="15" hidden="false" customHeight="true" outlineLevel="0" collapsed="false">
      <c r="A51" s="5" t="n">
        <v>2056</v>
      </c>
      <c r="B51" s="41" t="n">
        <f aca="false">B50*(1+Assumptions!$B$47)</f>
        <v>5176.42514191355</v>
      </c>
      <c r="C51" s="43"/>
      <c r="D51" s="42" t="n">
        <v>382.299706</v>
      </c>
      <c r="E51" s="40" t="n">
        <f aca="false">B51/B50-1</f>
        <v>0.0249999999999999</v>
      </c>
      <c r="F51" s="40" t="n">
        <f aca="false">D51/D50-1</f>
        <v>0.0107404140312652</v>
      </c>
    </row>
    <row r="52" customFormat="false" ht="15" hidden="false" customHeight="true" outlineLevel="0" collapsed="false">
      <c r="A52" s="5" t="n">
        <v>2057</v>
      </c>
      <c r="B52" s="41" t="n">
        <f aca="false">B51*(1+Assumptions!$B$47)</f>
        <v>5305.83577046139</v>
      </c>
      <c r="C52" s="43"/>
      <c r="D52" s="42" t="n">
        <v>386.301654</v>
      </c>
      <c r="E52" s="40" t="n">
        <f aca="false">B52/B51-1</f>
        <v>0.0249999999999999</v>
      </c>
      <c r="F52" s="40" t="n">
        <f aca="false">D52/D51-1</f>
        <v>0.0104680907078698</v>
      </c>
    </row>
    <row r="53" customFormat="false" ht="15" hidden="false" customHeight="true" outlineLevel="0" collapsed="false">
      <c r="A53" s="5" t="n">
        <v>2058</v>
      </c>
      <c r="B53" s="41" t="n">
        <f aca="false">B52*(1+Assumptions!$B$47)</f>
        <v>5438.48166472292</v>
      </c>
      <c r="C53" s="43"/>
      <c r="D53" s="42" t="n">
        <v>390.234537</v>
      </c>
      <c r="E53" s="40" t="n">
        <f aca="false">B53/B52-1</f>
        <v>0.0249999999999999</v>
      </c>
      <c r="F53" s="40" t="n">
        <f aca="false">D53/D52-1</f>
        <v>0.0101808598520783</v>
      </c>
    </row>
    <row r="54" customFormat="false" ht="15" hidden="false" customHeight="true" outlineLevel="0" collapsed="false">
      <c r="A54" s="5" t="n">
        <v>2059</v>
      </c>
      <c r="B54" s="41" t="n">
        <f aca="false">B53*(1+Assumptions!$B$47)</f>
        <v>5574.443706341</v>
      </c>
      <c r="C54" s="43"/>
      <c r="D54" s="42" t="n">
        <v>394.10689</v>
      </c>
      <c r="E54" s="40" t="n">
        <f aca="false">B54/B53-1</f>
        <v>0.0249999999999999</v>
      </c>
      <c r="F54" s="40" t="n">
        <f aca="false">D54/D53-1</f>
        <v>0.00992314270738182</v>
      </c>
    </row>
    <row r="55" customFormat="false" ht="15" hidden="false" customHeight="true" outlineLevel="0" collapsed="false">
      <c r="A55" s="5" t="n">
        <v>2060</v>
      </c>
      <c r="B55" s="41" t="n">
        <f aca="false">B54*(1+Assumptions!$B$47)</f>
        <v>5713.80479899952</v>
      </c>
      <c r="C55" s="43"/>
      <c r="D55" s="39" t="n">
        <v>397.911853</v>
      </c>
      <c r="E55" s="40" t="n">
        <f aca="false">B55/B54-1</f>
        <v>0.0249999999999999</v>
      </c>
      <c r="F55" s="40" t="n">
        <f aca="false">D55/D54-1</f>
        <v>0.00965464724557341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7" min="7" style="0" width="18.44"/>
    <col collapsed="false" customWidth="true" hidden="false" outlineLevel="0" max="8" min="8" style="0" width="20.88"/>
    <col collapsed="false" customWidth="true" hidden="false" outlineLevel="0" max="9" min="9" style="0" width="60"/>
  </cols>
  <sheetData>
    <row r="1" customFormat="false" ht="17.25" hidden="false" customHeight="true" outlineLevel="0" collapsed="false">
      <c r="A1" s="44" t="s">
        <v>124</v>
      </c>
    </row>
    <row r="3" customFormat="false" ht="15" hidden="false" customHeight="true" outlineLevel="0" collapsed="false">
      <c r="A3" s="45" t="s">
        <v>125</v>
      </c>
      <c r="B3" s="45"/>
      <c r="C3" s="45"/>
      <c r="D3" s="45"/>
      <c r="E3" s="45"/>
      <c r="F3" s="45"/>
      <c r="G3" s="45"/>
      <c r="H3" s="45"/>
    </row>
    <row r="12" customFormat="false" ht="33" hidden="false" customHeight="true" outlineLevel="0" collapsed="false">
      <c r="A12" s="24" t="s">
        <v>126</v>
      </c>
      <c r="B12" s="46" t="n">
        <v>300</v>
      </c>
      <c r="C12" s="28" t="s">
        <v>127</v>
      </c>
      <c r="D12" s="28"/>
      <c r="E12" s="28"/>
      <c r="F12" s="28"/>
      <c r="G12" s="28"/>
      <c r="H12" s="28"/>
    </row>
    <row r="14" customFormat="false" ht="15" hidden="false" customHeight="true" outlineLevel="0" collapsed="false">
      <c r="A14" s="45" t="s">
        <v>128</v>
      </c>
      <c r="B14" s="45"/>
      <c r="C14" s="45"/>
      <c r="D14" s="45"/>
      <c r="E14" s="45"/>
      <c r="F14" s="45"/>
      <c r="G14" s="45"/>
      <c r="H14" s="45"/>
    </row>
    <row r="15" customFormat="false" ht="28.5" hidden="false" customHeight="true" outlineLevel="0" collapsed="false">
      <c r="A15" s="47" t="s">
        <v>118</v>
      </c>
      <c r="B15" s="47" t="s">
        <v>129</v>
      </c>
      <c r="C15" s="47" t="s">
        <v>121</v>
      </c>
      <c r="D15" s="47" t="s">
        <v>130</v>
      </c>
      <c r="E15" s="47" t="s">
        <v>131</v>
      </c>
      <c r="F15" s="47" t="s">
        <v>132</v>
      </c>
      <c r="G15" s="47" t="s">
        <v>133</v>
      </c>
      <c r="H15" s="47" t="s">
        <v>134</v>
      </c>
    </row>
    <row r="16" customFormat="false" ht="15" hidden="false" customHeight="true" outlineLevel="0" collapsed="false">
      <c r="A16" s="5" t="n">
        <v>2010</v>
      </c>
      <c r="B16" s="48" t="n">
        <v>8.671474</v>
      </c>
      <c r="C16" s="49" t="n">
        <f aca="false">'GDP and Population'!D5</f>
        <v>164.304314</v>
      </c>
      <c r="D16" s="49" t="n">
        <f aca="false">'GDP and Population'!B5</f>
        <v>2348.42320800384</v>
      </c>
      <c r="E16" s="49" t="n">
        <f aca="false">B16*1000/C16</f>
        <v>52.7769100451008</v>
      </c>
      <c r="F16" s="49" t="n">
        <f aca="false">E16/$B$12</f>
        <v>0.175923033483669</v>
      </c>
      <c r="G16" s="49" t="n">
        <f aca="false">LN(F16)</f>
        <v>-1.73770868934366</v>
      </c>
      <c r="H16" s="49" t="n">
        <f aca="false">LN(-G16)</f>
        <v>0.552567400219073</v>
      </c>
      <c r="I16" s="50" t="s">
        <v>135</v>
      </c>
    </row>
    <row r="17" customFormat="false" ht="15" hidden="false" customHeight="true" outlineLevel="0" collapsed="false">
      <c r="A17" s="5" t="n">
        <v>2017</v>
      </c>
      <c r="B17" s="48" t="n">
        <v>11.45837</v>
      </c>
      <c r="C17" s="49" t="n">
        <f aca="false">'GDP and Population'!D12</f>
        <v>197.862099</v>
      </c>
      <c r="D17" s="49" t="n">
        <f aca="false">'GDP and Population'!B12</f>
        <v>2471.23670461517</v>
      </c>
      <c r="E17" s="49" t="n">
        <f aca="false">B17*1000/C17</f>
        <v>57.9108887346839</v>
      </c>
      <c r="F17" s="49" t="n">
        <f aca="false">E17/$B$12</f>
        <v>0.19303629578228</v>
      </c>
      <c r="G17" s="49" t="n">
        <f aca="false">LN(F17)</f>
        <v>-1.64487704671043</v>
      </c>
      <c r="H17" s="49" t="n">
        <f aca="false">LN(-G17)</f>
        <v>0.497665637782816</v>
      </c>
      <c r="I17" s="50" t="s">
        <v>136</v>
      </c>
    </row>
    <row r="18" customFormat="false" ht="15" hidden="false" customHeight="true" outlineLevel="0" collapsed="false">
      <c r="A18" s="5" t="n">
        <v>2018</v>
      </c>
      <c r="B18" s="48" t="n">
        <v>11.826033</v>
      </c>
      <c r="C18" s="49" t="n">
        <f aca="false">'GDP and Population'!D13</f>
        <v>202.647058</v>
      </c>
      <c r="D18" s="49" t="n">
        <f aca="false">'GDP and Population'!B13</f>
        <v>2459.27909931856</v>
      </c>
      <c r="E18" s="49" t="n">
        <f aca="false">B18*1000/C18</f>
        <v>58.3577828206122</v>
      </c>
      <c r="F18" s="49" t="n">
        <f aca="false">E18/$B$12</f>
        <v>0.194525942735374</v>
      </c>
      <c r="G18" s="49" t="n">
        <f aca="false">LN(F18)</f>
        <v>-1.63718974314531</v>
      </c>
      <c r="H18" s="49" t="n">
        <f aca="false">LN(-G18)</f>
        <v>0.492981200740666</v>
      </c>
      <c r="I18" s="50" t="s">
        <v>137</v>
      </c>
    </row>
    <row r="20" customFormat="false" ht="15" hidden="false" customHeight="true" outlineLevel="0" collapsed="false">
      <c r="A20" s="45" t="s">
        <v>138</v>
      </c>
      <c r="B20" s="45"/>
      <c r="C20" s="45"/>
      <c r="D20" s="45"/>
      <c r="E20" s="45"/>
      <c r="F20" s="45"/>
      <c r="G20" s="45"/>
      <c r="H20" s="45"/>
    </row>
    <row r="21" customFormat="false" ht="15" hidden="false" customHeight="true" outlineLevel="0" collapsed="false">
      <c r="A21" s="5" t="s">
        <v>139</v>
      </c>
      <c r="B21" s="51" t="n">
        <f aca="false">INDEX(LINEST(H16:H18,D16:D18,TRUE(),TRUE()),1,1)</f>
        <v>-0.000483084241417371</v>
      </c>
    </row>
    <row r="22" customFormat="false" ht="15" hidden="false" customHeight="true" outlineLevel="0" collapsed="false">
      <c r="A22" s="5" t="s">
        <v>140</v>
      </c>
      <c r="B22" s="49" t="n">
        <f aca="false">INDEX(LINEST(H16:H18,D16:D18,TRUE(),TRUE()),1,2)</f>
        <v>1.68651832321591</v>
      </c>
    </row>
    <row r="23" customFormat="false" ht="15" hidden="false" customHeight="true" outlineLevel="0" collapsed="false">
      <c r="A23" s="5" t="s">
        <v>141</v>
      </c>
      <c r="B23" s="51" t="n">
        <f aca="false">STEYX(H16:H18,D16:D18)/SQRT(DEVSQ(D16:D18))</f>
        <v>7.75408698531175E-005</v>
      </c>
    </row>
    <row r="24" customFormat="false" ht="15" hidden="false" customHeight="true" outlineLevel="0" collapsed="false">
      <c r="A24" s="5" t="s">
        <v>142</v>
      </c>
      <c r="B24" s="48" t="n">
        <f aca="false">-EXP(B22)</f>
        <v>-5.4006446345608</v>
      </c>
    </row>
    <row r="25" customFormat="false" ht="15" hidden="false" customHeight="true" outlineLevel="0" collapsed="false">
      <c r="A25" s="5" t="s">
        <v>143</v>
      </c>
      <c r="B25" s="52" t="n">
        <f aca="false">B21</f>
        <v>-0.000483084241417371</v>
      </c>
    </row>
    <row r="26" customFormat="false" ht="15" hidden="false" customHeight="true" outlineLevel="0" collapsed="false">
      <c r="A26" s="5" t="s">
        <v>144</v>
      </c>
      <c r="B26" s="49" t="n">
        <f aca="false">INDEX(LINEST(H16:H18,D16:D18,TRUE(),TRUE()),3,1)</f>
        <v>0.97488298153624</v>
      </c>
    </row>
    <row r="27" customFormat="false" ht="15" hidden="false" customHeight="true" outlineLevel="0" collapsed="false">
      <c r="A27" s="5" t="s">
        <v>145</v>
      </c>
      <c r="B27" s="49" t="n">
        <f aca="false">INDEX(LINEST(H16:H18,D16:D18,TRUE(),TRUE()),2,2)</f>
        <v>0.18818726665375</v>
      </c>
    </row>
    <row r="28" customFormat="false" ht="15" hidden="false" customHeight="true" outlineLevel="0" collapsed="false">
      <c r="A28" s="5" t="s">
        <v>146</v>
      </c>
      <c r="B28" s="5" t="n">
        <f aca="false">INDEX(LINEST(H16:H18,D16:D18,TRUE(),TRUE()),4,2)</f>
        <v>1</v>
      </c>
    </row>
    <row r="29" customFormat="false" ht="15" hidden="false" customHeight="true" outlineLevel="0" collapsed="false">
      <c r="A29" s="5" t="s">
        <v>147</v>
      </c>
      <c r="B29" s="49" t="n">
        <f aca="false">B21/B23</f>
        <v>-6.23005961027337</v>
      </c>
    </row>
    <row r="30" customFormat="false" ht="15" hidden="false" customHeight="true" outlineLevel="0" collapsed="false">
      <c r="A30" s="5" t="s">
        <v>148</v>
      </c>
      <c r="B30" s="51" t="n">
        <f aca="false">B21-TINV(0.05,B28)*B23</f>
        <v>-0.00146833440919216</v>
      </c>
      <c r="C30" s="51" t="n">
        <f aca="false">B21+TINV(0.05,B28)*B23</f>
        <v>0.000502165926357416</v>
      </c>
    </row>
    <row r="32" customFormat="false" ht="33" hidden="false" customHeight="true" outlineLevel="0" collapsed="false">
      <c r="A32" s="28" t="s">
        <v>149</v>
      </c>
      <c r="B32" s="28"/>
      <c r="C32" s="28"/>
      <c r="D32" s="28"/>
      <c r="E32" s="28"/>
      <c r="F32" s="28"/>
      <c r="G32" s="28"/>
      <c r="H32" s="28"/>
    </row>
    <row r="34" customFormat="false" ht="15" hidden="false" customHeight="true" outlineLevel="0" collapsed="false">
      <c r="A34" s="45" t="s">
        <v>150</v>
      </c>
      <c r="B34" s="45"/>
      <c r="C34" s="45"/>
      <c r="D34" s="45"/>
      <c r="E34" s="45"/>
      <c r="F34" s="45"/>
      <c r="G34" s="45"/>
      <c r="H34" s="45"/>
    </row>
    <row r="35" customFormat="false" ht="15" hidden="false" customHeight="true" outlineLevel="0" collapsed="false">
      <c r="A35" s="46" t="s">
        <v>118</v>
      </c>
      <c r="B35" s="46" t="s">
        <v>151</v>
      </c>
      <c r="C35" s="46" t="s">
        <v>152</v>
      </c>
      <c r="D35" s="46" t="s">
        <v>153</v>
      </c>
      <c r="E35" s="46" t="s">
        <v>154</v>
      </c>
    </row>
    <row r="36" customFormat="false" ht="15" hidden="false" customHeight="true" outlineLevel="0" collapsed="false">
      <c r="A36" s="5" t="n">
        <f aca="false">A16</f>
        <v>2010</v>
      </c>
      <c r="B36" s="53" t="n">
        <f aca="false">E16</f>
        <v>52.7769100451008</v>
      </c>
      <c r="C36" s="53" t="n">
        <f aca="false">$B$12*EXP($B$24*EXP($B$25*D16))</f>
        <v>52.8260145015761</v>
      </c>
      <c r="D36" s="49" t="n">
        <f aca="false">B36-C36</f>
        <v>-0.0491044564753125</v>
      </c>
      <c r="E36" s="40" t="n">
        <f aca="false">D36/B36</f>
        <v>-0.000930415525148213</v>
      </c>
    </row>
    <row r="37" customFormat="false" ht="15" hidden="false" customHeight="true" outlineLevel="0" collapsed="false">
      <c r="A37" s="5" t="n">
        <f aca="false">A17</f>
        <v>2017</v>
      </c>
      <c r="B37" s="53" t="n">
        <f aca="false">E17</f>
        <v>57.9108887346839</v>
      </c>
      <c r="C37" s="53" t="n">
        <f aca="false">$B$12*EXP($B$24*EXP($B$25*D17))</f>
        <v>58.3843829791181</v>
      </c>
      <c r="D37" s="49" t="n">
        <f aca="false">B37-C37</f>
        <v>-0.473494244434207</v>
      </c>
      <c r="E37" s="40" t="n">
        <f aca="false">D37/B37</f>
        <v>-0.00817625587829431</v>
      </c>
    </row>
    <row r="38" customFormat="false" ht="15" hidden="false" customHeight="true" outlineLevel="0" collapsed="false">
      <c r="A38" s="5" t="n">
        <f aca="false">A18</f>
        <v>2018</v>
      </c>
      <c r="B38" s="53" t="n">
        <f aca="false">E18</f>
        <v>58.3577828206122</v>
      </c>
      <c r="C38" s="53" t="n">
        <f aca="false">$B$12*EXP($B$24*EXP($B$25*D18))</f>
        <v>57.8333983413638</v>
      </c>
      <c r="D38" s="49" t="n">
        <f aca="false">B38-C38</f>
        <v>0.524384479248433</v>
      </c>
      <c r="E38" s="40" t="n">
        <f aca="false">D38/B38</f>
        <v>0.00898568201023597</v>
      </c>
    </row>
    <row r="40" customFormat="false" ht="15" hidden="false" customHeight="true" outlineLevel="0" collapsed="false">
      <c r="A40" s="45"/>
      <c r="B40" s="45"/>
      <c r="C40" s="45"/>
      <c r="D40" s="45"/>
      <c r="E40" s="45"/>
      <c r="F40" s="45"/>
      <c r="G40" s="45"/>
      <c r="H40" s="45"/>
    </row>
    <row r="41" customFormat="false" ht="15" hidden="false" customHeight="true" outlineLevel="0" collapsed="false">
      <c r="A41" s="46"/>
      <c r="B41" s="46"/>
      <c r="C41" s="46"/>
    </row>
    <row r="42" customFormat="false" ht="15" hidden="false" customHeight="true" outlineLevel="0" collapsed="false">
      <c r="B42" s="49"/>
      <c r="C42" s="51"/>
    </row>
    <row r="43" customFormat="false" ht="15" hidden="false" customHeight="true" outlineLevel="0" collapsed="false">
      <c r="B43" s="49"/>
      <c r="C43" s="51"/>
    </row>
  </sheetData>
  <mergeCells count="7">
    <mergeCell ref="A3:H3"/>
    <mergeCell ref="C12:H12"/>
    <mergeCell ref="A14:H14"/>
    <mergeCell ref="A20:H20"/>
    <mergeCell ref="A32:H32"/>
    <mergeCell ref="A34:H34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7"/>
  </cols>
  <sheetData>
    <row r="1" customFormat="false" ht="17.25" hidden="false" customHeight="true" outlineLevel="0" collapsed="false">
      <c r="A1" s="44" t="s">
        <v>155</v>
      </c>
    </row>
    <row r="2" customFormat="false" ht="66" hidden="false" customHeight="true" outlineLevel="0" collapsed="false">
      <c r="A2" s="22" t="s">
        <v>156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customFormat="false" ht="15" hidden="false" customHeight="true" outlineLevel="0" collapsed="false">
      <c r="A4" s="45" t="s">
        <v>157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customFormat="false" ht="15" hidden="false" customHeight="true" outlineLevel="0" collapsed="false">
      <c r="A5" s="46" t="s">
        <v>118</v>
      </c>
      <c r="B5" s="46" t="s">
        <v>158</v>
      </c>
      <c r="C5" s="46" t="s">
        <v>159</v>
      </c>
    </row>
    <row r="6" customFormat="false" ht="41.25" hidden="false" customHeight="true" outlineLevel="0" collapsed="false">
      <c r="A6" s="5" t="n">
        <v>2010</v>
      </c>
      <c r="B6" s="54" t="n">
        <v>8.671474</v>
      </c>
      <c r="C6" s="55" t="s">
        <v>160</v>
      </c>
    </row>
    <row r="7" customFormat="false" ht="41.25" hidden="false" customHeight="true" outlineLevel="0" collapsed="false">
      <c r="A7" s="5" t="n">
        <v>2017</v>
      </c>
      <c r="B7" s="54" t="n">
        <v>11.45837</v>
      </c>
      <c r="C7" s="55" t="s">
        <v>136</v>
      </c>
    </row>
    <row r="8" customFormat="false" ht="54.75" hidden="false" customHeight="true" outlineLevel="0" collapsed="false">
      <c r="A8" s="5" t="n">
        <v>2018</v>
      </c>
      <c r="B8" s="54" t="n">
        <v>11.826033</v>
      </c>
      <c r="C8" s="55" t="s">
        <v>137</v>
      </c>
    </row>
    <row r="10" customFormat="false" ht="15" hidden="false" customHeight="true" outlineLevel="0" collapsed="false">
      <c r="A10" s="45" t="s">
        <v>161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customFormat="false" ht="15" hidden="false" customHeight="true" outlineLevel="0" collapsed="false">
      <c r="A11" s="5" t="s">
        <v>162</v>
      </c>
      <c r="B11" s="56" t="n">
        <f aca="false">(B8/B6)^(1/8)-1</f>
        <v>0.0395449429033066</v>
      </c>
    </row>
    <row r="12" customFormat="false" ht="69" hidden="false" customHeight="true" outlineLevel="0" collapsed="false">
      <c r="A12" s="5" t="s">
        <v>163</v>
      </c>
      <c r="B12" s="57" t="n">
        <f aca="false">(44.79147/8.671474)^(1/25)-1</f>
        <v>0.0678840393604681</v>
      </c>
      <c r="C12" s="50" t="s">
        <v>164</v>
      </c>
    </row>
    <row r="13" customFormat="false" ht="15" hidden="false" customHeight="true" outlineLevel="0" collapsed="false">
      <c r="A13" s="5" t="s">
        <v>165</v>
      </c>
      <c r="B13" s="56" t="n">
        <f aca="false">B11</f>
        <v>0.0395449429033066</v>
      </c>
    </row>
    <row r="14" customFormat="false" ht="110.25" hidden="false" customHeight="true" outlineLevel="0" collapsed="false">
      <c r="A14" s="5" t="s">
        <v>166</v>
      </c>
      <c r="B14" s="56" t="n">
        <f aca="false">('GDP and Population'!D55/'GDP and Population'!D54-1)+Assumptions!$B$85*Assumptions!$B$47</f>
        <v>0.0321546472455734</v>
      </c>
      <c r="C14" s="50" t="s">
        <v>167</v>
      </c>
    </row>
    <row r="15" customFormat="false" ht="15" hidden="false" customHeight="true" outlineLevel="0" collapsed="false">
      <c r="A15" s="5" t="s">
        <v>168</v>
      </c>
      <c r="B15" s="58" t="n">
        <f aca="false">D32/(H32*G32/1000)</f>
        <v>1.22640595700019</v>
      </c>
    </row>
    <row r="16" customFormat="false" ht="15" hidden="false" customHeight="true" outlineLevel="0" collapsed="false">
      <c r="A16" s="45" t="s">
        <v>169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customFormat="false" ht="15" hidden="false" customHeight="true" outlineLevel="0" collapsed="false">
      <c r="A17" s="46" t="s">
        <v>118</v>
      </c>
      <c r="B17" s="46" t="s">
        <v>170</v>
      </c>
      <c r="C17" s="46" t="s">
        <v>171</v>
      </c>
      <c r="D17" s="46" t="s">
        <v>172</v>
      </c>
      <c r="E17" s="46" t="s">
        <v>173</v>
      </c>
      <c r="F17" s="46" t="s">
        <v>174</v>
      </c>
      <c r="G17" s="46" t="s">
        <v>175</v>
      </c>
      <c r="H17" s="46" t="s">
        <v>176</v>
      </c>
      <c r="I17" s="46" t="s">
        <v>177</v>
      </c>
      <c r="J17" s="46" t="s">
        <v>178</v>
      </c>
    </row>
    <row r="18" customFormat="false" ht="15" hidden="false" customHeight="true" outlineLevel="0" collapsed="false">
      <c r="A18" s="5" t="n">
        <v>2010</v>
      </c>
      <c r="B18" s="27" t="n">
        <f aca="false">$B$6</f>
        <v>8.671474</v>
      </c>
      <c r="C18" s="27" t="n">
        <f aca="false">B18</f>
        <v>8.671474</v>
      </c>
      <c r="D18" s="27" t="n">
        <f aca="false">B18</f>
        <v>8.671474</v>
      </c>
      <c r="E18" s="27" t="n">
        <f aca="false">B18</f>
        <v>8.671474</v>
      </c>
      <c r="F18" s="41" t="n">
        <f aca="false">'GDP and Population'!B5</f>
        <v>2348.42320800384</v>
      </c>
      <c r="G18" s="42" t="n">
        <f aca="false">'GDP and Population'!D5</f>
        <v>164.304314</v>
      </c>
      <c r="H18" s="42" t="n">
        <f aca="false">'Gompertz fit'!$B$12*EXP('Gompertz fit'!$B$24*EXP('Gompertz fit'!$B$25*F18))</f>
        <v>52.8260145015761</v>
      </c>
      <c r="I18" s="56"/>
      <c r="J18" s="27" t="n">
        <v>8.671474</v>
      </c>
    </row>
    <row r="19" customFormat="false" ht="15" hidden="false" customHeight="true" outlineLevel="0" collapsed="false">
      <c r="A19" s="5" t="n">
        <v>2011</v>
      </c>
      <c r="B19" s="27" t="n">
        <f aca="false">$B$6*($B$7/$B$6)^(0.142857)</f>
        <v>9.02366360779177</v>
      </c>
      <c r="C19" s="27" t="n">
        <f aca="false">B19</f>
        <v>9.02366360779177</v>
      </c>
      <c r="D19" s="27" t="n">
        <f aca="false">B19</f>
        <v>9.02366360779177</v>
      </c>
      <c r="E19" s="27" t="n">
        <f aca="false">B19</f>
        <v>9.02366360779177</v>
      </c>
      <c r="F19" s="41" t="n">
        <f aca="false">'GDP and Population'!B6</f>
        <v>2404.62485532649</v>
      </c>
      <c r="G19" s="42" t="n">
        <f aca="false">'GDP and Population'!D6</f>
        <v>168.981457</v>
      </c>
      <c r="H19" s="42" t="n">
        <f aca="false">'Gompertz fit'!$B$12*EXP('Gompertz fit'!$B$24*EXP('Gompertz fit'!$B$25*F19))</f>
        <v>55.3415052878323</v>
      </c>
      <c r="I19" s="56"/>
      <c r="J19" s="27" t="n">
        <v>9.3101</v>
      </c>
    </row>
    <row r="20" customFormat="false" ht="15" hidden="false" customHeight="true" outlineLevel="0" collapsed="false">
      <c r="A20" s="5" t="n">
        <v>2012</v>
      </c>
      <c r="B20" s="27" t="n">
        <f aca="false">$B$6*($B$7/$B$6)^(0.285714)</f>
        <v>9.39015730273602</v>
      </c>
      <c r="C20" s="27" t="n">
        <f aca="false">B20</f>
        <v>9.39015730273602</v>
      </c>
      <c r="D20" s="27" t="n">
        <f aca="false">B20</f>
        <v>9.39015730273602</v>
      </c>
      <c r="E20" s="27" t="n">
        <f aca="false">B20</f>
        <v>9.39015730273602</v>
      </c>
      <c r="F20" s="41" t="n">
        <f aca="false">'GDP and Population'!B7</f>
        <v>2437.16669714141</v>
      </c>
      <c r="G20" s="42" t="n">
        <f aca="false">'GDP and Population'!D7</f>
        <v>173.777738</v>
      </c>
      <c r="H20" s="42" t="n">
        <f aca="false">'Gompertz fit'!$B$12*EXP('Gompertz fit'!$B$24*EXP('Gompertz fit'!$B$25*F20))</f>
        <v>56.819924305876</v>
      </c>
      <c r="I20" s="56"/>
      <c r="J20" s="27" t="n">
        <v>9.9957</v>
      </c>
    </row>
    <row r="21" customFormat="false" ht="15" hidden="false" customHeight="true" outlineLevel="0" collapsed="false">
      <c r="A21" s="5" t="n">
        <v>2013</v>
      </c>
      <c r="B21" s="27" t="n">
        <f aca="false">$B$6*($B$7/$B$6)^(0.428571)</f>
        <v>9.7715360415241</v>
      </c>
      <c r="C21" s="27" t="n">
        <f aca="false">B21</f>
        <v>9.7715360415241</v>
      </c>
      <c r="D21" s="27" t="n">
        <f aca="false">B21</f>
        <v>9.7715360415241</v>
      </c>
      <c r="E21" s="27" t="n">
        <f aca="false">B21</f>
        <v>9.7715360415241</v>
      </c>
      <c r="F21" s="41" t="n">
        <f aca="false">'GDP and Population'!B8</f>
        <v>2529.23093672145</v>
      </c>
      <c r="G21" s="42" t="n">
        <f aca="false">'GDP and Population'!D8</f>
        <v>178.623511</v>
      </c>
      <c r="H21" s="42" t="n">
        <f aca="false">'Gompertz fit'!$B$12*EXP('Gompertz fit'!$B$24*EXP('Gompertz fit'!$B$25*F21))</f>
        <v>61.0850381970531</v>
      </c>
      <c r="I21" s="56"/>
      <c r="J21" s="27" t="n">
        <v>10.7318</v>
      </c>
    </row>
    <row r="22" customFormat="false" ht="15" hidden="false" customHeight="true" outlineLevel="0" collapsed="false">
      <c r="A22" s="5" t="n">
        <v>2014</v>
      </c>
      <c r="B22" s="27" t="n">
        <f aca="false">$B$6*($B$7/$B$6)^(0.571429)</f>
        <v>10.1684072099971</v>
      </c>
      <c r="C22" s="27" t="n">
        <f aca="false">B22</f>
        <v>10.1684072099971</v>
      </c>
      <c r="D22" s="27" t="n">
        <f aca="false">B22</f>
        <v>10.1684072099971</v>
      </c>
      <c r="E22" s="27" t="n">
        <f aca="false">B22</f>
        <v>10.1684072099971</v>
      </c>
      <c r="F22" s="41" t="n">
        <f aca="false">'GDP and Population'!B9</f>
        <v>2617.71457848884</v>
      </c>
      <c r="G22" s="42" t="n">
        <f aca="false">'GDP and Population'!D9</f>
        <v>183.475375</v>
      </c>
      <c r="H22" s="42" t="n">
        <f aca="false">'Gompertz fit'!$B$12*EXP('Gompertz fit'!$B$24*EXP('Gompertz fit'!$B$25*F22))</f>
        <v>65.2915688332177</v>
      </c>
      <c r="I22" s="56"/>
      <c r="J22" s="27" t="n">
        <v>11.5221</v>
      </c>
    </row>
    <row r="23" customFormat="false" ht="15" hidden="false" customHeight="true" outlineLevel="0" collapsed="false">
      <c r="A23" s="5" t="n">
        <v>2015</v>
      </c>
      <c r="B23" s="27" t="n">
        <f aca="false">$B$6*($B$7/$B$6)^(0.714286)</f>
        <v>10.5813943615651</v>
      </c>
      <c r="C23" s="27" t="n">
        <f aca="false">B23</f>
        <v>10.5813943615651</v>
      </c>
      <c r="D23" s="27" t="n">
        <f aca="false">B23</f>
        <v>10.5813943615651</v>
      </c>
      <c r="E23" s="27" t="n">
        <f aca="false">B23</f>
        <v>10.5813943615651</v>
      </c>
      <c r="F23" s="41" t="n">
        <f aca="false">'GDP and Population'!B10</f>
        <v>2618.0476193936</v>
      </c>
      <c r="G23" s="42" t="n">
        <f aca="false">'GDP and Population'!D10</f>
        <v>188.318455</v>
      </c>
      <c r="H23" s="42" t="n">
        <f aca="false">'Gompertz fit'!$B$12*EXP('Gompertz fit'!$B$24*EXP('Gompertz fit'!$B$25*F23))</f>
        <v>65.3075881069949</v>
      </c>
      <c r="I23" s="56"/>
      <c r="J23" s="27" t="n">
        <v>12.3706</v>
      </c>
    </row>
    <row r="24" customFormat="false" ht="15" hidden="false" customHeight="true" outlineLevel="0" collapsed="false">
      <c r="A24" s="5" t="n">
        <v>2016</v>
      </c>
      <c r="B24" s="27" t="n">
        <f aca="false">$B$6*($B$7/$B$6)^(0.857143)</f>
        <v>11.0111548763391</v>
      </c>
      <c r="C24" s="27" t="n">
        <f aca="false">B24</f>
        <v>11.0111548763391</v>
      </c>
      <c r="D24" s="27" t="n">
        <f aca="false">B24</f>
        <v>11.0111548763391</v>
      </c>
      <c r="E24" s="27" t="n">
        <f aca="false">B24</f>
        <v>11.0111548763391</v>
      </c>
      <c r="F24" s="41" t="n">
        <f aca="false">'GDP and Population'!B11</f>
        <v>2512.90936961663</v>
      </c>
      <c r="G24" s="42" t="n">
        <f aca="false">'GDP and Population'!D11</f>
        <v>193.025301</v>
      </c>
      <c r="H24" s="42" t="n">
        <f aca="false">'Gompertz fit'!$B$12*EXP('Gompertz fit'!$B$24*EXP('Gompertz fit'!$B$25*F24))</f>
        <v>60.3203032786751</v>
      </c>
      <c r="I24" s="56"/>
      <c r="J24" s="27" t="n">
        <v>13.2816</v>
      </c>
    </row>
    <row r="25" customFormat="false" ht="15" hidden="false" customHeight="true" outlineLevel="0" collapsed="false">
      <c r="A25" s="5" t="n">
        <v>2017</v>
      </c>
      <c r="B25" s="27" t="n">
        <f aca="false">$B$7</f>
        <v>11.45837</v>
      </c>
      <c r="C25" s="27" t="n">
        <f aca="false">B25</f>
        <v>11.45837</v>
      </c>
      <c r="D25" s="27" t="n">
        <f aca="false">B25</f>
        <v>11.45837</v>
      </c>
      <c r="E25" s="27" t="n">
        <f aca="false">B25</f>
        <v>11.45837</v>
      </c>
      <c r="F25" s="41" t="n">
        <f aca="false">'GDP and Population'!B12</f>
        <v>2471.23670461517</v>
      </c>
      <c r="G25" s="42" t="n">
        <f aca="false">'GDP and Population'!D12</f>
        <v>197.862099</v>
      </c>
      <c r="H25" s="42" t="n">
        <f aca="false">'Gompertz fit'!$B$12*EXP('Gompertz fit'!$B$24*EXP('Gompertz fit'!$B$25*F25))</f>
        <v>58.3843829791181</v>
      </c>
      <c r="I25" s="56"/>
      <c r="J25" s="27" t="n">
        <v>14.2596</v>
      </c>
    </row>
    <row r="26" customFormat="false" ht="15" hidden="false" customHeight="true" outlineLevel="0" collapsed="false">
      <c r="A26" s="5" t="n">
        <v>2018</v>
      </c>
      <c r="B26" s="27" t="n">
        <f aca="false">$B$8</f>
        <v>11.826033</v>
      </c>
      <c r="C26" s="27" t="n">
        <f aca="false">B26</f>
        <v>11.826033</v>
      </c>
      <c r="D26" s="27" t="n">
        <f aca="false">B26</f>
        <v>11.826033</v>
      </c>
      <c r="E26" s="27" t="n">
        <f aca="false">B26</f>
        <v>11.826033</v>
      </c>
      <c r="F26" s="41" t="n">
        <f aca="false">'GDP and Population'!B13</f>
        <v>2459.27909931856</v>
      </c>
      <c r="G26" s="42" t="n">
        <f aca="false">'GDP and Population'!D13</f>
        <v>202.647058</v>
      </c>
      <c r="H26" s="42" t="n">
        <f aca="false">'Gompertz fit'!$B$12*EXP('Gompertz fit'!$B$24*EXP('Gompertz fit'!$B$25*F26))</f>
        <v>57.8333983413638</v>
      </c>
      <c r="I26" s="56"/>
      <c r="J26" s="27" t="n">
        <v>15.3098</v>
      </c>
    </row>
    <row r="27" customFormat="false" ht="15" hidden="false" customHeight="true" outlineLevel="0" collapsed="false">
      <c r="A27" s="5" t="n">
        <v>2019</v>
      </c>
      <c r="B27" s="27" t="n">
        <f aca="false">B26*(1+$B$11)</f>
        <v>12.2936927997576</v>
      </c>
      <c r="C27" s="27" t="n">
        <f aca="false">B27</f>
        <v>12.2936927997576</v>
      </c>
      <c r="D27" s="27" t="n">
        <f aca="false">B27</f>
        <v>12.2936927997576</v>
      </c>
      <c r="E27" s="27" t="n">
        <f aca="false">B27</f>
        <v>12.2936927997576</v>
      </c>
      <c r="F27" s="41" t="n">
        <f aca="false">'GDP and Population'!B14</f>
        <v>2457.99652166854</v>
      </c>
      <c r="G27" s="42" t="n">
        <f aca="false">'GDP and Population'!D14</f>
        <v>207.230451</v>
      </c>
      <c r="H27" s="42" t="n">
        <f aca="false">'Gompertz fit'!$B$12*EXP('Gompertz fit'!$B$24*EXP('Gompertz fit'!$B$25*F27))</f>
        <v>57.7744210132903</v>
      </c>
      <c r="I27" s="56"/>
      <c r="J27" s="27" t="n">
        <v>16.4372</v>
      </c>
    </row>
    <row r="28" customFormat="false" ht="15" hidden="false" customHeight="true" outlineLevel="0" collapsed="false">
      <c r="A28" s="5" t="n">
        <v>2020</v>
      </c>
      <c r="B28" s="27" t="n">
        <f aca="false">B27*(1+$B$11)</f>
        <v>12.7798461795948</v>
      </c>
      <c r="C28" s="27" t="n">
        <f aca="false">B28</f>
        <v>12.7798461795948</v>
      </c>
      <c r="D28" s="27" t="n">
        <f aca="false">B28</f>
        <v>12.7798461795948</v>
      </c>
      <c r="E28" s="27" t="n">
        <f aca="false">B28</f>
        <v>12.7798461795948</v>
      </c>
      <c r="F28" s="41" t="n">
        <f aca="false">'GDP and Population'!B15</f>
        <v>2252.42508800646</v>
      </c>
      <c r="G28" s="42" t="n">
        <f aca="false">'GDP and Population'!D15</f>
        <v>211.740831</v>
      </c>
      <c r="H28" s="42" t="n">
        <f aca="false">'Gompertz fit'!$B$12*EXP('Gompertz fit'!$B$24*EXP('Gompertz fit'!$B$25*F28))</f>
        <v>48.6457053865282</v>
      </c>
      <c r="I28" s="56"/>
      <c r="J28" s="27" t="n">
        <v>17.647653</v>
      </c>
    </row>
    <row r="29" customFormat="false" ht="15" hidden="false" customHeight="true" outlineLevel="0" collapsed="false">
      <c r="A29" s="5" t="n">
        <v>2021</v>
      </c>
      <c r="B29" s="27" t="n">
        <f aca="false">B28*(1+$B$11)</f>
        <v>13.2852244670799</v>
      </c>
      <c r="C29" s="27" t="n">
        <f aca="false">B29</f>
        <v>13.2852244670799</v>
      </c>
      <c r="D29" s="27" t="n">
        <f aca="false">B29</f>
        <v>13.2852244670799</v>
      </c>
      <c r="E29" s="27" t="n">
        <f aca="false">B29</f>
        <v>13.2852244670799</v>
      </c>
      <c r="F29" s="41" t="n">
        <f aca="false">'GDP and Population'!B16</f>
        <v>2229.90662679814</v>
      </c>
      <c r="G29" s="42" t="n">
        <f aca="false">'GDP and Population'!D16</f>
        <v>216.251531</v>
      </c>
      <c r="H29" s="42" t="n">
        <f aca="false">'Gompertz fit'!$B$12*EXP('Gompertz fit'!$B$24*EXP('Gompertz fit'!$B$25*F29))</f>
        <v>47.6873165475651</v>
      </c>
      <c r="I29" s="56"/>
      <c r="J29" s="27" t="n">
        <v>18.8382</v>
      </c>
    </row>
    <row r="30" customFormat="false" ht="15" hidden="false" customHeight="true" outlineLevel="0" collapsed="false">
      <c r="A30" s="5" t="n">
        <v>2022</v>
      </c>
      <c r="B30" s="27" t="n">
        <f aca="false">B29*(1+$B$11)</f>
        <v>13.8105879100882</v>
      </c>
      <c r="C30" s="27" t="n">
        <f aca="false">B30</f>
        <v>13.8105879100882</v>
      </c>
      <c r="D30" s="27" t="n">
        <f aca="false">B30</f>
        <v>13.8105879100882</v>
      </c>
      <c r="E30" s="27" t="n">
        <f aca="false">B30</f>
        <v>13.8105879100882</v>
      </c>
      <c r="F30" s="41" t="n">
        <f aca="false">'GDP and Population'!B17</f>
        <v>2278.21997085463</v>
      </c>
      <c r="G30" s="42" t="n">
        <f aca="false">'GDP and Population'!D17</f>
        <v>220.807042</v>
      </c>
      <c r="H30" s="42" t="n">
        <f aca="false">'Gompertz fit'!$B$12*EXP('Gompertz fit'!$B$24*EXP('Gompertz fit'!$B$25*F30))</f>
        <v>49.7540736349444</v>
      </c>
      <c r="I30" s="56"/>
      <c r="J30" s="27" t="n">
        <v>20.109</v>
      </c>
    </row>
    <row r="31" customFormat="false" ht="15" hidden="false" customHeight="true" outlineLevel="0" collapsed="false">
      <c r="A31" s="5" t="n">
        <v>2023</v>
      </c>
      <c r="B31" s="27" t="n">
        <f aca="false">B30*(1+$B$11)</f>
        <v>14.3567268204538</v>
      </c>
      <c r="C31" s="27" t="n">
        <f aca="false">B31</f>
        <v>14.3567268204538</v>
      </c>
      <c r="D31" s="27" t="n">
        <f aca="false">B31</f>
        <v>14.3567268204538</v>
      </c>
      <c r="E31" s="27" t="n">
        <f aca="false">B31</f>
        <v>14.3567268204538</v>
      </c>
      <c r="F31" s="41" t="n">
        <f aca="false">'GDP and Population'!B18</f>
        <v>2304.83223892973</v>
      </c>
      <c r="G31" s="42" t="n">
        <f aca="false">'GDP and Population'!D18</f>
        <v>225.494749</v>
      </c>
      <c r="H31" s="42" t="n">
        <f aca="false">'Gompertz fit'!$B$12*EXP('Gompertz fit'!$B$24*EXP('Gompertz fit'!$B$25*F31))</f>
        <v>50.9091510083551</v>
      </c>
      <c r="I31" s="56"/>
      <c r="J31" s="27" t="n">
        <v>21.4656</v>
      </c>
    </row>
    <row r="32" customFormat="false" ht="15" hidden="false" customHeight="true" outlineLevel="0" collapsed="false">
      <c r="A32" s="5" t="n">
        <v>2024</v>
      </c>
      <c r="B32" s="27" t="n">
        <f aca="false">B31*(1+$B$11)</f>
        <v>14.924462762847</v>
      </c>
      <c r="C32" s="27" t="n">
        <f aca="false">B32</f>
        <v>14.924462762847</v>
      </c>
      <c r="D32" s="27" t="n">
        <f aca="false">B32</f>
        <v>14.924462762847</v>
      </c>
      <c r="E32" s="27" t="n">
        <f aca="false">B32</f>
        <v>14.924462762847</v>
      </c>
      <c r="F32" s="41" t="n">
        <f aca="false">'GDP and Population'!B19</f>
        <v>2348.90928903668</v>
      </c>
      <c r="G32" s="42" t="n">
        <f aca="false">'GDP and Population'!D19</f>
        <v>230.271141</v>
      </c>
      <c r="H32" s="42" t="n">
        <f aca="false">'Gompertz fit'!$B$12*EXP('Gompertz fit'!$B$24*EXP('Gompertz fit'!$B$25*F32))</f>
        <v>52.8475602428187</v>
      </c>
      <c r="I32" s="56"/>
      <c r="J32" s="27" t="n">
        <v>22.9137</v>
      </c>
    </row>
    <row r="33" customFormat="false" ht="15" hidden="false" customHeight="true" outlineLevel="0" collapsed="false">
      <c r="A33" s="5" t="n">
        <v>2025</v>
      </c>
      <c r="B33" s="27"/>
      <c r="C33" s="27" t="n">
        <f aca="false">C32*(1+$B$12)</f>
        <v>15.9375955804739</v>
      </c>
      <c r="D33" s="27" t="n">
        <f aca="false">$D$32*(H33*G33)/($H$32*$G$32)</f>
        <v>15.9948789279976</v>
      </c>
      <c r="E33" s="27" t="n">
        <f aca="false">E32*(1+I33)</f>
        <v>15.5115859830352</v>
      </c>
      <c r="F33" s="41" t="n">
        <f aca="false">'GDP and Population'!B20</f>
        <v>2407.63202126259</v>
      </c>
      <c r="G33" s="42" t="n">
        <f aca="false">'GDP and Population'!D20</f>
        <v>235.087814</v>
      </c>
      <c r="H33" s="42" t="n">
        <f aca="false">'Gompertz fit'!$B$12*EXP('Gompertz fit'!$B$24*EXP('Gompertz fit'!$B$25*F33))</f>
        <v>55.4774624434898</v>
      </c>
      <c r="I33" s="56" t="n">
        <f aca="false">$B$13+(0.027778)*($B$14-$B$13)</f>
        <v>0.0393396552705261</v>
      </c>
      <c r="J33" s="27" t="n">
        <v>24.4595</v>
      </c>
    </row>
    <row r="34" customFormat="false" ht="15" hidden="false" customHeight="true" outlineLevel="0" collapsed="false">
      <c r="A34" s="5" t="n">
        <v>2026</v>
      </c>
      <c r="B34" s="27"/>
      <c r="C34" s="27" t="n">
        <f aca="false">C33*(1+$B$12)</f>
        <v>17.01950394617</v>
      </c>
      <c r="D34" s="27" t="n">
        <f aca="false">$D$32*(H34*G34)/($H$32*$G$32)</f>
        <v>17.1360440448463</v>
      </c>
      <c r="E34" s="27" t="n">
        <f aca="false">E33*(1+I34)</f>
        <v>16.1186220915398</v>
      </c>
      <c r="F34" s="41" t="n">
        <f aca="false">'GDP and Population'!B21</f>
        <v>2467.82282179416</v>
      </c>
      <c r="G34" s="42" t="n">
        <f aca="false">'GDP and Population'!D21</f>
        <v>239.967749</v>
      </c>
      <c r="H34" s="42" t="n">
        <f aca="false">'Gompertz fit'!$B$12*EXP('Gompertz fit'!$B$24*EXP('Gompertz fit'!$B$25*F34))</f>
        <v>58.2268694140434</v>
      </c>
      <c r="I34" s="56" t="n">
        <f aca="false">$B$13+(0.055556)*($B$14-$B$13)</f>
        <v>0.0391343676377456</v>
      </c>
      <c r="J34" s="27" t="n">
        <v>26.1096</v>
      </c>
    </row>
    <row r="35" customFormat="false" ht="15" hidden="false" customHeight="true" outlineLevel="0" collapsed="false">
      <c r="A35" s="5" t="n">
        <v>2027</v>
      </c>
      <c r="B35" s="27"/>
      <c r="C35" s="27" t="n">
        <f aca="false">C34*(1+$B$12)</f>
        <v>18.1748566219475</v>
      </c>
      <c r="D35" s="27" t="n">
        <f aca="false">$D$32*(H35*G35)/($H$32*$G$32)</f>
        <v>18.3504457084773</v>
      </c>
      <c r="E35" s="27" t="n">
        <f aca="false">E34*(1+I35)</f>
        <v>16.7461053396325</v>
      </c>
      <c r="F35" s="41" t="n">
        <f aca="false">'GDP and Population'!B22</f>
        <v>2529.51839233901</v>
      </c>
      <c r="G35" s="42" t="n">
        <f aca="false">'GDP and Population'!D22</f>
        <v>244.895915</v>
      </c>
      <c r="H35" s="42" t="n">
        <f aca="false">'Gompertz fit'!$B$12*EXP('Gompertz fit'!$B$24*EXP('Gompertz fit'!$B$25*F35))</f>
        <v>61.098538926412</v>
      </c>
      <c r="I35" s="56" t="n">
        <f aca="false">$B$13+(0.083333)*($B$14-$B$13)</f>
        <v>0.0389290873952607</v>
      </c>
      <c r="J35" s="27" t="n">
        <v>27.871</v>
      </c>
    </row>
    <row r="36" customFormat="false" ht="15" hidden="false" customHeight="true" outlineLevel="0" collapsed="false">
      <c r="A36" s="5" t="n">
        <v>2028</v>
      </c>
      <c r="B36" s="27"/>
      <c r="C36" s="27" t="n">
        <f aca="false">C35*(1+$B$12)</f>
        <v>19.4086393042426</v>
      </c>
      <c r="D36" s="27" t="n">
        <f aca="false">$D$32*(H36*G36)/($H$32*$G$32)</f>
        <v>19.640025420798</v>
      </c>
      <c r="E36" s="27" t="n">
        <f aca="false">E35*(1+I36)</f>
        <v>17.3945781696059</v>
      </c>
      <c r="F36" s="41" t="n">
        <f aca="false">'GDP and Population'!B23</f>
        <v>2592.75635214749</v>
      </c>
      <c r="G36" s="42" t="n">
        <f aca="false">'GDP and Population'!D23</f>
        <v>249.85261</v>
      </c>
      <c r="H36" s="42" t="n">
        <f aca="false">'Gompertz fit'!$B$12*EXP('Gompertz fit'!$B$24*EXP('Gompertz fit'!$B$25*F36))</f>
        <v>64.0949633766616</v>
      </c>
      <c r="I36" s="56" t="n">
        <f aca="false">$B$13+(0.111111)*($B$14-$B$13)</f>
        <v>0.0387237997624802</v>
      </c>
      <c r="J36" s="27" t="n">
        <v>29.7512</v>
      </c>
    </row>
    <row r="37" customFormat="false" ht="15" hidden="false" customHeight="true" outlineLevel="0" collapsed="false">
      <c r="A37" s="5" t="n">
        <v>2029</v>
      </c>
      <c r="B37" s="27"/>
      <c r="C37" s="27" t="n">
        <f aca="false">C36*(1+$B$12)</f>
        <v>20.726176138705</v>
      </c>
      <c r="D37" s="27" t="n">
        <f aca="false">$D$32*(H37*G37)/($H$32*$G$32)</f>
        <v>21.0082052501968</v>
      </c>
      <c r="E37" s="27" t="n">
        <f aca="false">E36*(1+I37)</f>
        <v>18.0645914398228</v>
      </c>
      <c r="F37" s="41" t="n">
        <f aca="false">'GDP and Population'!B24</f>
        <v>2657.57526095117</v>
      </c>
      <c r="G37" s="42" t="n">
        <f aca="false">'GDP and Population'!D24</f>
        <v>254.839645</v>
      </c>
      <c r="H37" s="42" t="n">
        <f aca="false">'Gompertz fit'!$B$12*EXP('Gompertz fit'!$B$24*EXP('Gompertz fit'!$B$25*F37))</f>
        <v>67.2183285422892</v>
      </c>
      <c r="I37" s="56" t="n">
        <f aca="false">$B$13+(0.138889)*($B$14-$B$13)</f>
        <v>0.0385185121296997</v>
      </c>
      <c r="J37" s="27" t="n">
        <v>31.7583</v>
      </c>
    </row>
    <row r="38" customFormat="false" ht="15" hidden="false" customHeight="true" outlineLevel="0" collapsed="false">
      <c r="A38" s="5" t="n">
        <v>2030</v>
      </c>
      <c r="B38" s="27"/>
      <c r="C38" s="27" t="n">
        <f aca="false">C37*(1+$B$12)</f>
        <v>22.1331526954968</v>
      </c>
      <c r="D38" s="27" t="n">
        <f aca="false">$D$32*(H38*G38)/($H$32*$G$32)</f>
        <v>22.4589924696305</v>
      </c>
      <c r="E38" s="27" t="n">
        <f aca="false">E37*(1+I38)</f>
        <v>18.7567041871019</v>
      </c>
      <c r="F38" s="41" t="n">
        <f aca="false">'GDP and Population'!B25</f>
        <v>2724.01464247495</v>
      </c>
      <c r="G38" s="42" t="n">
        <f aca="false">'GDP and Population'!D25</f>
        <v>259.865631</v>
      </c>
      <c r="H38" s="42" t="n">
        <f aca="false">'Gompertz fit'!$B$12*EXP('Gompertz fit'!$B$24*EXP('Gompertz fit'!$B$25*F38))</f>
        <v>70.4704708553816</v>
      </c>
      <c r="I38" s="56" t="n">
        <f aca="false">$B$13+(0.166667)*($B$14-$B$13)</f>
        <v>0.0383132244969192</v>
      </c>
      <c r="J38" s="27" t="n">
        <v>33.90072</v>
      </c>
    </row>
    <row r="39" customFormat="false" ht="15" hidden="false" customHeight="true" outlineLevel="0" collapsed="false">
      <c r="A39" s="5" t="n">
        <v>2031</v>
      </c>
      <c r="B39" s="27"/>
      <c r="C39" s="27" t="n">
        <f aca="false">C38*(1+$B$12)</f>
        <v>23.6356405042492</v>
      </c>
      <c r="D39" s="27" t="n">
        <f aca="false">$D$32*(H39*G39)/($H$32*$G$32)</f>
        <v>23.992600329276</v>
      </c>
      <c r="E39" s="27" t="n">
        <f aca="false">E38*(1+I39)</f>
        <v>19.4714836246609</v>
      </c>
      <c r="F39" s="41" t="n">
        <f aca="false">'GDP and Population'!B26</f>
        <v>2792.11500853682</v>
      </c>
      <c r="G39" s="42" t="n">
        <f aca="false">'GDP and Population'!D26</f>
        <v>264.896308</v>
      </c>
      <c r="H39" s="42" t="n">
        <f aca="false">'Gompertz fit'!$B$12*EXP('Gompertz fit'!$B$24*EXP('Gompertz fit'!$B$25*F39))</f>
        <v>73.8528335668378</v>
      </c>
      <c r="I39" s="56" t="n">
        <f aca="false">$B$13+(0.194444)*($B$14-$B$13)</f>
        <v>0.0381079442544343</v>
      </c>
      <c r="J39" s="27" t="n">
        <v>35.8432</v>
      </c>
    </row>
    <row r="40" customFormat="false" ht="15" hidden="false" customHeight="true" outlineLevel="0" collapsed="false">
      <c r="A40" s="5" t="n">
        <v>2032</v>
      </c>
      <c r="B40" s="27"/>
      <c r="C40" s="27" t="n">
        <f aca="false">C39*(1+$B$12)</f>
        <v>25.2401232545495</v>
      </c>
      <c r="D40" s="27" t="n">
        <f aca="false">$D$32*(H40*G40)/($H$32*$G$32)</f>
        <v>25.6131743514744</v>
      </c>
      <c r="E40" s="27" t="n">
        <f aca="false">E39*(1+I40)</f>
        <v>20.2095045824005</v>
      </c>
      <c r="F40" s="41" t="n">
        <f aca="false">'GDP and Population'!B27</f>
        <v>2861.91788375025</v>
      </c>
      <c r="G40" s="42" t="n">
        <f aca="false">'GDP and Population'!D27</f>
        <v>269.945841</v>
      </c>
      <c r="H40" s="42" t="n">
        <f aca="false">'Gompertz fit'!$B$12*EXP('Gompertz fit'!$B$24*EXP('Gompertz fit'!$B$25*F40))</f>
        <v>77.366422244723</v>
      </c>
      <c r="I40" s="56" t="n">
        <f aca="false">$B$13+(0.222222)*($B$14-$B$13)</f>
        <v>0.0379026566216538</v>
      </c>
      <c r="J40" s="27" t="n">
        <v>37.8969</v>
      </c>
    </row>
    <row r="41" customFormat="false" ht="15" hidden="false" customHeight="true" outlineLevel="0" collapsed="false">
      <c r="A41" s="5" t="n">
        <v>2033</v>
      </c>
      <c r="B41" s="27"/>
      <c r="C41" s="27" t="n">
        <f aca="false">C40*(1+$B$12)</f>
        <v>26.9535247750244</v>
      </c>
      <c r="D41" s="27" t="n">
        <f aca="false">$D$32*(H41*G41)/($H$32*$G$32)</f>
        <v>27.3242893618224</v>
      </c>
      <c r="E41" s="27" t="n">
        <f aca="false">E40*(1+I41)</f>
        <v>20.9713497337256</v>
      </c>
      <c r="F41" s="41" t="n">
        <f aca="false">'GDP and Population'!B28</f>
        <v>2933.465830844</v>
      </c>
      <c r="G41" s="42" t="n">
        <f aca="false">'GDP and Population'!D28</f>
        <v>275.021443</v>
      </c>
      <c r="H41" s="42" t="n">
        <f aca="false">'Gompertz fit'!$B$12*EXP('Gompertz fit'!$B$24*EXP('Gompertz fit'!$B$25*F41))</f>
        <v>81.0117601181724</v>
      </c>
      <c r="I41" s="56" t="n">
        <f aca="false">$B$13+(0.25)*($B$14-$B$13)</f>
        <v>0.0376973689888733</v>
      </c>
      <c r="J41" s="27" t="n">
        <v>40.0683</v>
      </c>
    </row>
    <row r="42" customFormat="false" ht="15" hidden="false" customHeight="true" outlineLevel="0" collapsed="false">
      <c r="A42" s="5" t="n">
        <v>2034</v>
      </c>
      <c r="B42" s="27"/>
      <c r="C42" s="27" t="n">
        <f aca="false">C41*(1+$B$12)</f>
        <v>28.7832389117555</v>
      </c>
      <c r="D42" s="27" t="n">
        <f aca="false">$D$32*(H42*G42)/($H$32*$G$32)</f>
        <v>29.1251846545956</v>
      </c>
      <c r="E42" s="27" t="n">
        <f aca="false">E41*(1+I42)</f>
        <v>21.7576092840895</v>
      </c>
      <c r="F42" s="41" t="n">
        <f aca="false">'GDP and Population'!B29</f>
        <v>3006.8024766151</v>
      </c>
      <c r="G42" s="42" t="n">
        <f aca="false">'GDP and Population'!D29</f>
        <v>280.088787</v>
      </c>
      <c r="H42" s="42" t="n">
        <f aca="false">'Gompertz fit'!$B$12*EXP('Gompertz fit'!$B$24*EXP('Gompertz fit'!$B$25*F42))</f>
        <v>84.7888438454273</v>
      </c>
      <c r="I42" s="56" t="n">
        <f aca="false">$B$13+(0.277778)*($B$14-$B$13)</f>
        <v>0.0374920813560928</v>
      </c>
      <c r="J42" s="27" t="n">
        <v>42.3641</v>
      </c>
    </row>
    <row r="43" customFormat="false" ht="15" hidden="false" customHeight="true" outlineLevel="0" collapsed="false">
      <c r="A43" s="5" t="n">
        <v>2035</v>
      </c>
      <c r="B43" s="27"/>
      <c r="C43" s="27" t="n">
        <f aca="false">C42*(1+$B$12)</f>
        <v>30.7371614349629</v>
      </c>
      <c r="D43" s="27" t="n">
        <f aca="false">$D$32*(H43*G43)/($H$32*$G$32)</f>
        <v>31.0188861185366</v>
      </c>
      <c r="E43" s="27" t="n">
        <f aca="false">E42*(1+I43)</f>
        <v>22.5688807733778</v>
      </c>
      <c r="F43" s="41" t="n">
        <f aca="false">'GDP and Population'!B30</f>
        <v>3081.97253853048</v>
      </c>
      <c r="G43" s="42" t="n">
        <f aca="false">'GDP and Population'!D30</f>
        <v>285.156007</v>
      </c>
      <c r="H43" s="42" t="n">
        <f aca="false">'Gompertz fit'!$B$12*EXP('Gompertz fit'!$B$24*EXP('Gompertz fit'!$B$25*F43))</f>
        <v>88.6971003486851</v>
      </c>
      <c r="I43" s="56" t="n">
        <f aca="false">$B$13+(0.305556)*($B$14-$B$13)</f>
        <v>0.0372867937233123</v>
      </c>
      <c r="J43" s="27" t="n">
        <v>44.79147</v>
      </c>
    </row>
    <row r="44" customFormat="false" ht="15" hidden="false" customHeight="true" outlineLevel="0" collapsed="false">
      <c r="A44" s="5" t="n">
        <v>2036</v>
      </c>
      <c r="B44" s="27"/>
      <c r="C44" s="27" t="n">
        <f aca="false">C43*(1+$B$12)</f>
        <v>32.823724111643</v>
      </c>
      <c r="D44" s="27" t="n">
        <f aca="false">$D$32*(H44*G44)/($H$32*$G$32)</f>
        <v>33.0065533293181</v>
      </c>
      <c r="E44" s="27" t="n">
        <f aca="false">E43*(1+I44)</f>
        <v>23.405769030023</v>
      </c>
      <c r="F44" s="41" t="n">
        <f aca="false">'GDP and Population'!B31</f>
        <v>3159.02185199374</v>
      </c>
      <c r="G44" s="42" t="n">
        <f aca="false">'GDP and Population'!D31</f>
        <v>290.215518</v>
      </c>
      <c r="H44" s="42" t="n">
        <f aca="false">'Gompertz fit'!$B$12*EXP('Gompertz fit'!$B$24*EXP('Gompertz fit'!$B$25*F44))</f>
        <v>92.7353454173726</v>
      </c>
      <c r="I44" s="56" t="n">
        <f aca="false">$B$13+(0.333333)*($B$14-$B$13)</f>
        <v>0.0370815134808274</v>
      </c>
      <c r="J44" s="27"/>
    </row>
    <row r="45" customFormat="false" ht="15" hidden="false" customHeight="true" outlineLevel="0" collapsed="false">
      <c r="A45" s="5" t="n">
        <v>2037</v>
      </c>
      <c r="B45" s="27"/>
      <c r="C45" s="27" t="n">
        <f aca="false">C44*(1+$B$12)</f>
        <v>35.0519310911949</v>
      </c>
      <c r="D45" s="27" t="n">
        <f aca="false">$D$32*(H45*G45)/($H$32*$G$32)</f>
        <v>35.0893464595893</v>
      </c>
      <c r="E45" s="27" t="n">
        <f aca="false">E44*(1+I45)</f>
        <v>24.2688854549214</v>
      </c>
      <c r="F45" s="41" t="n">
        <f aca="false">'GDP and Population'!B32</f>
        <v>3237.99739829358</v>
      </c>
      <c r="G45" s="42" t="n">
        <f aca="false">'GDP and Population'!D32</f>
        <v>295.263274</v>
      </c>
      <c r="H45" s="42" t="n">
        <f aca="false">'Gompertz fit'!$B$12*EXP('Gompertz fit'!$B$24*EXP('Gompertz fit'!$B$25*F45))</f>
        <v>96.9017448329267</v>
      </c>
      <c r="I45" s="56" t="n">
        <f aca="false">$B$13+(0.361111)*($B$14-$B$13)</f>
        <v>0.0368762258480469</v>
      </c>
      <c r="J45" s="27"/>
    </row>
    <row r="46" customFormat="false" ht="15" hidden="false" customHeight="true" outlineLevel="0" collapsed="false">
      <c r="A46" s="5" t="n">
        <v>2038</v>
      </c>
      <c r="B46" s="27"/>
      <c r="C46" s="27" t="n">
        <f aca="false">C45*(1+$B$12)</f>
        <v>37.43139776105</v>
      </c>
      <c r="D46" s="27" t="n">
        <f aca="false">$D$32*(H46*G46)/($H$32*$G$32)</f>
        <v>37.2665441183506</v>
      </c>
      <c r="E46" s="27" t="n">
        <f aca="false">E45*(1+I46)</f>
        <v>25.1588482539921</v>
      </c>
      <c r="F46" s="41" t="n">
        <f aca="false">'GDP and Population'!B33</f>
        <v>3318.94733325092</v>
      </c>
      <c r="G46" s="42" t="n">
        <f aca="false">'GDP and Population'!D33</f>
        <v>300.283214</v>
      </c>
      <c r="H46" s="42" t="n">
        <f aca="false">'Gompertz fit'!$B$12*EXP('Gompertz fit'!$B$24*EXP('Gompertz fit'!$B$25*F46))</f>
        <v>101.193778809816</v>
      </c>
      <c r="I46" s="56" t="n">
        <f aca="false">$B$13+(0.388889)*($B$14-$B$13)</f>
        <v>0.0366709382152664</v>
      </c>
      <c r="J46" s="27"/>
    </row>
    <row r="47" customFormat="false" ht="15" hidden="false" customHeight="true" outlineLevel="0" collapsed="false">
      <c r="A47" s="5" t="n">
        <v>2039</v>
      </c>
      <c r="B47" s="27"/>
      <c r="C47" s="27" t="n">
        <f aca="false">C46*(1+$B$12)</f>
        <v>39.9723922399784</v>
      </c>
      <c r="D47" s="27" t="n">
        <f aca="false">$D$32*(H47*G47)/($H$32*$G$32)</f>
        <v>39.5396141178477</v>
      </c>
      <c r="E47" s="27" t="n">
        <f aca="false">E46*(1+I47)</f>
        <v>26.07628202348</v>
      </c>
      <c r="F47" s="41" t="n">
        <f aca="false">'GDP and Population'!B34</f>
        <v>3401.92101658219</v>
      </c>
      <c r="G47" s="42" t="n">
        <f aca="false">'GDP and Population'!D34</f>
        <v>305.281503</v>
      </c>
      <c r="H47" s="42" t="n">
        <f aca="false">'Gompertz fit'!$B$12*EXP('Gompertz fit'!$B$24*EXP('Gompertz fit'!$B$25*F47))</f>
        <v>105.608210576893</v>
      </c>
      <c r="I47" s="56" t="n">
        <f aca="false">$B$13+(0.416667)*($B$14-$B$13)</f>
        <v>0.0364656505824859</v>
      </c>
      <c r="J47" s="27"/>
    </row>
    <row r="48" customFormat="false" ht="15" hidden="false" customHeight="true" outlineLevel="0" collapsed="false">
      <c r="A48" s="5" t="n">
        <v>2040</v>
      </c>
      <c r="B48" s="27"/>
      <c r="C48" s="27" t="n">
        <f aca="false">C47*(1+$B$12)</f>
        <v>42.6858796881292</v>
      </c>
      <c r="D48" s="27" t="n">
        <f aca="false">$D$32*(H48*G48)/($H$32*$G$32)</f>
        <v>41.9075725990135</v>
      </c>
      <c r="E48" s="27" t="n">
        <f aca="false">E47*(1+I48)</f>
        <v>27.0218176667417</v>
      </c>
      <c r="F48" s="41" t="n">
        <f aca="false">'GDP and Population'!B35</f>
        <v>3486.96904199675</v>
      </c>
      <c r="G48" s="42" t="n">
        <f aca="false">'GDP and Population'!D35</f>
        <v>310.248009</v>
      </c>
      <c r="H48" s="42" t="n">
        <f aca="false">'Gompertz fit'!$B$12*EXP('Gompertz fit'!$B$24*EXP('Gompertz fit'!$B$25*F48))</f>
        <v>110.141059937863</v>
      </c>
      <c r="I48" s="56" t="n">
        <f aca="false">$B$13+(0.444444)*($B$14-$B$13)</f>
        <v>0.036260370340001</v>
      </c>
      <c r="J48" s="27"/>
    </row>
    <row r="49" customFormat="false" ht="15" hidden="false" customHeight="true" outlineLevel="0" collapsed="false">
      <c r="A49" s="5" t="n">
        <v>2041</v>
      </c>
      <c r="B49" s="27"/>
      <c r="C49" s="27" t="n">
        <f aca="false">C48*(1+$B$12)</f>
        <v>45.5835696250143</v>
      </c>
      <c r="D49" s="27" t="n">
        <f aca="false">$D$32*(H49*G49)/($H$32*$G$32)</f>
        <v>44.3688243918765</v>
      </c>
      <c r="E49" s="27" t="n">
        <f aca="false">E48*(1+I49)</f>
        <v>27.9960915376155</v>
      </c>
      <c r="F49" s="41" t="n">
        <f aca="false">'GDP and Population'!B36</f>
        <v>3574.14326804667</v>
      </c>
      <c r="G49" s="42" t="n">
        <f aca="false">'GDP and Population'!D36</f>
        <v>315.172822</v>
      </c>
      <c r="H49" s="42" t="n">
        <f aca="false">'Gompertz fit'!$B$12*EXP('Gompertz fit'!$B$24*EXP('Gompertz fit'!$B$25*F49))</f>
        <v>114.787582647353</v>
      </c>
      <c r="I49" s="56" t="n">
        <f aca="false">$B$13+(0.472222)*($B$14-$B$13)</f>
        <v>0.0360550827072205</v>
      </c>
      <c r="J49" s="27"/>
    </row>
    <row r="50" customFormat="false" ht="15" hidden="false" customHeight="true" outlineLevel="0" collapsed="false">
      <c r="A50" s="5" t="n">
        <v>2042</v>
      </c>
      <c r="B50" s="27"/>
      <c r="C50" s="27" t="n">
        <f aca="false">C49*(1+$B$12)</f>
        <v>48.6779664596294</v>
      </c>
      <c r="D50" s="27" t="n">
        <f aca="false">$D$32*(H50*G50)/($H$32*$G$32)</f>
        <v>46.9204558641139</v>
      </c>
      <c r="E50" s="27" t="n">
        <f aca="false">E49*(1+I50)</f>
        <v>28.9997456821243</v>
      </c>
      <c r="F50" s="41" t="n">
        <f aca="false">'GDP and Population'!B37</f>
        <v>3663.49684974783</v>
      </c>
      <c r="G50" s="42" t="n">
        <f aca="false">'GDP and Population'!D37</f>
        <v>320.041666</v>
      </c>
      <c r="H50" s="42" t="n">
        <f aca="false">'Gompertz fit'!$B$12*EXP('Gompertz fit'!$B$24*EXP('Gompertz fit'!$B$25*F50))</f>
        <v>119.542256417767</v>
      </c>
      <c r="I50" s="56" t="n">
        <f aca="false">$B$13+(0.5)*($B$14-$B$13)</f>
        <v>0.03584979507444</v>
      </c>
      <c r="J50" s="27"/>
    </row>
    <row r="51" customFormat="false" ht="15" hidden="false" customHeight="true" outlineLevel="0" collapsed="false">
      <c r="A51" s="5" t="n">
        <v>2043</v>
      </c>
      <c r="B51" s="27"/>
      <c r="C51" s="27" t="n">
        <f aca="false">C50*(1+$B$12)</f>
        <v>51.9824234507625</v>
      </c>
      <c r="D51" s="27" t="n">
        <f aca="false">$D$32*(H51*G51)/($H$32*$G$32)</f>
        <v>49.5615857020476</v>
      </c>
      <c r="E51" s="27" t="n">
        <f aca="false">E50*(1+I51)</f>
        <v>30.033427332897</v>
      </c>
      <c r="F51" s="41" t="n">
        <f aca="false">'GDP and Population'!B38</f>
        <v>3755.08427099153</v>
      </c>
      <c r="G51" s="42" t="n">
        <f aca="false">'GDP and Population'!D38</f>
        <v>324.858953</v>
      </c>
      <c r="H51" s="42" t="n">
        <f aca="false">'Gompertz fit'!$B$12*EXP('Gompertz fit'!$B$24*EXP('Gompertz fit'!$B$25*F51))</f>
        <v>124.398774330082</v>
      </c>
      <c r="I51" s="56" t="n">
        <f aca="false">$B$13+(0.527778)*($B$14-$B$13)</f>
        <v>0.0356445074416595</v>
      </c>
      <c r="J51" s="27"/>
    </row>
    <row r="52" customFormat="false" ht="15" hidden="false" customHeight="true" outlineLevel="0" collapsed="false">
      <c r="A52" s="5" t="n">
        <v>2044</v>
      </c>
      <c r="B52" s="27"/>
      <c r="C52" s="27" t="n">
        <f aca="false">C51*(1+$B$12)</f>
        <v>55.5112003303466</v>
      </c>
      <c r="D52" s="27" t="n">
        <f aca="false">$D$32*(H52*G52)/($H$32*$G$32)</f>
        <v>52.2909046674911</v>
      </c>
      <c r="E52" s="27" t="n">
        <f aca="false">E51*(1+I52)</f>
        <v>31.0977885657615</v>
      </c>
      <c r="F52" s="41" t="n">
        <f aca="false">'GDP and Population'!B39</f>
        <v>3848.96137776632</v>
      </c>
      <c r="G52" s="42" t="n">
        <f aca="false">'GDP and Population'!D39</f>
        <v>329.628926</v>
      </c>
      <c r="H52" s="42" t="n">
        <f aca="false">'Gompertz fit'!$B$12*EXP('Gompertz fit'!$B$24*EXP('Gompertz fit'!$B$25*F52))</f>
        <v>129.350046357682</v>
      </c>
      <c r="I52" s="56" t="n">
        <f aca="false">$B$13+(0.555556)*($B$14-$B$13)</f>
        <v>0.035439219808879</v>
      </c>
      <c r="J52" s="27"/>
    </row>
    <row r="53" customFormat="false" ht="15" hidden="false" customHeight="true" outlineLevel="0" collapsed="false">
      <c r="A53" s="5" t="n">
        <v>2045</v>
      </c>
      <c r="B53" s="27"/>
      <c r="C53" s="27" t="n">
        <f aca="false">C52*(1+$B$12)</f>
        <v>59.2795248385186</v>
      </c>
      <c r="D53" s="27" t="n">
        <f aca="false">$D$32*(H53*G53)/($H$32*$G$32)</f>
        <v>55.1037159692694</v>
      </c>
      <c r="E53" s="27" t="n">
        <f aca="false">E52*(1+I53)</f>
        <v>32.1934861687361</v>
      </c>
      <c r="F53" s="41" t="n">
        <f aca="false">'GDP and Population'!B40</f>
        <v>3945.18541221048</v>
      </c>
      <c r="G53" s="42" t="n">
        <f aca="false">'GDP and Population'!D40</f>
        <v>334.33779</v>
      </c>
      <c r="H53" s="42" t="n">
        <f aca="false">'Gompertz fit'!$B$12*EXP('Gompertz fit'!$B$24*EXP('Gompertz fit'!$B$25*F53))</f>
        <v>134.3882096256</v>
      </c>
      <c r="I53" s="56" t="n">
        <f aca="false">$B$13+(0.583333)*($B$14-$B$13)</f>
        <v>0.0352339395663941</v>
      </c>
      <c r="J53" s="27"/>
    </row>
    <row r="54" customFormat="false" ht="15" hidden="false" customHeight="true" outlineLevel="0" collapsed="false">
      <c r="A54" s="5" t="n">
        <v>2046</v>
      </c>
      <c r="B54" s="27"/>
      <c r="C54" s="27" t="n">
        <f aca="false">C53*(1+$B$12)</f>
        <v>63.3036584359265</v>
      </c>
      <c r="D54" s="27" t="n">
        <f aca="false">$D$32*(H54*G54)/($H$32*$G$32)</f>
        <v>57.9970955696943</v>
      </c>
      <c r="E54" s="27" t="n">
        <f aca="false">E53*(1+I54)</f>
        <v>33.3211805902703</v>
      </c>
      <c r="F54" s="41" t="n">
        <f aca="false">'GDP and Population'!B41</f>
        <v>4043.81504751574</v>
      </c>
      <c r="G54" s="42" t="n">
        <f aca="false">'GDP and Population'!D41</f>
        <v>338.987213</v>
      </c>
      <c r="H54" s="42" t="n">
        <f aca="false">'Gompertz fit'!$B$12*EXP('Gompertz fit'!$B$24*EXP('Gompertz fit'!$B$25*F54))</f>
        <v>139.504647918048</v>
      </c>
      <c r="I54" s="56" t="n">
        <f aca="false">$B$13+(0.611111)*($B$14-$B$13)</f>
        <v>0.0350286519336136</v>
      </c>
      <c r="J54" s="27"/>
    </row>
    <row r="55" customFormat="false" ht="15" hidden="false" customHeight="true" outlineLevel="0" collapsed="false">
      <c r="A55" s="5" t="n">
        <v>2047</v>
      </c>
      <c r="B55" s="27"/>
      <c r="C55" s="27" t="n">
        <f aca="false">C54*(1+$B$12)</f>
        <v>67.6009664768525</v>
      </c>
      <c r="D55" s="27" t="n">
        <f aca="false">$D$32*(H55*G55)/($H$32*$G$32)</f>
        <v>60.9671712768418</v>
      </c>
      <c r="E55" s="27" t="n">
        <f aca="false">E54*(1+I55)</f>
        <v>34.4815362008992</v>
      </c>
      <c r="F55" s="41" t="n">
        <f aca="false">'GDP and Population'!B42</f>
        <v>4144.91042370363</v>
      </c>
      <c r="G55" s="42" t="n">
        <f aca="false">'GDP and Population'!D42</f>
        <v>343.576313</v>
      </c>
      <c r="H55" s="42" t="n">
        <f aca="false">'Gompertz fit'!$B$12*EXP('Gompertz fit'!$B$24*EXP('Gompertz fit'!$B$25*F55))</f>
        <v>144.69002081556</v>
      </c>
      <c r="I55" s="56" t="n">
        <f aca="false">$B$13+(0.638889)*($B$14-$B$13)</f>
        <v>0.0348233643008331</v>
      </c>
      <c r="J55" s="27"/>
    </row>
    <row r="56" customFormat="false" ht="15" hidden="false" customHeight="true" outlineLevel="0" collapsed="false">
      <c r="A56" s="5" t="n">
        <v>2048</v>
      </c>
      <c r="B56" s="27"/>
      <c r="C56" s="27" t="n">
        <f aca="false">C55*(1+$B$12)</f>
        <v>72.1899931459729</v>
      </c>
      <c r="D56" s="27" t="n">
        <f aca="false">$D$32*(H56*G56)/($H$32*$G$32)</f>
        <v>64.0108924000211</v>
      </c>
      <c r="E56" s="27" t="n">
        <f aca="false">E55*(1+I56)</f>
        <v>35.6752206647341</v>
      </c>
      <c r="F56" s="41" t="n">
        <f aca="false">'GDP and Population'!B43</f>
        <v>4248.53318429622</v>
      </c>
      <c r="G56" s="42" t="n">
        <f aca="false">'GDP and Population'!D43</f>
        <v>348.111705</v>
      </c>
      <c r="H56" s="42" t="n">
        <f aca="false">'Gompertz fit'!$B$12*EXP('Gompertz fit'!$B$24*EXP('Gompertz fit'!$B$25*F56))</f>
        <v>149.934302690984</v>
      </c>
      <c r="I56" s="56" t="n">
        <f aca="false">$B$13+(0.666667)*($B$14-$B$13)</f>
        <v>0.0346180766680526</v>
      </c>
      <c r="J56" s="27"/>
    </row>
    <row r="57" customFormat="false" ht="15" hidden="false" customHeight="true" outlineLevel="0" collapsed="false">
      <c r="A57" s="5" t="n">
        <v>2049</v>
      </c>
      <c r="B57" s="27"/>
      <c r="C57" s="27" t="n">
        <f aca="false">C56*(1+$B$12)</f>
        <v>77.090541482126</v>
      </c>
      <c r="D57" s="27" t="n">
        <f aca="false">$D$32*(H57*G57)/($H$32*$G$32)</f>
        <v>67.1217760049829</v>
      </c>
      <c r="E57" s="27" t="n">
        <f aca="false">E56*(1+I57)</f>
        <v>36.9029047709068</v>
      </c>
      <c r="F57" s="41" t="n">
        <f aca="false">'GDP and Population'!B44</f>
        <v>4354.74651390363</v>
      </c>
      <c r="G57" s="42" t="n">
        <f aca="false">'GDP and Population'!D44</f>
        <v>352.583833</v>
      </c>
      <c r="H57" s="42" t="n">
        <f aca="false">'Gompertz fit'!$B$12*EXP('Gompertz fit'!$B$24*EXP('Gompertz fit'!$B$25*F57))</f>
        <v>155.226831623265</v>
      </c>
      <c r="I57" s="56" t="n">
        <f aca="false">$B$13+(0.694444)*($B$14-$B$13)</f>
        <v>0.0344127964255677</v>
      </c>
      <c r="J57" s="27"/>
    </row>
    <row r="58" customFormat="false" ht="15" hidden="false" customHeight="true" outlineLevel="0" collapsed="false">
      <c r="A58" s="5" t="n">
        <v>2050</v>
      </c>
      <c r="B58" s="27"/>
      <c r="C58" s="27" t="n">
        <f aca="false">C57*(1+$B$12)</f>
        <v>82.3237588344184</v>
      </c>
      <c r="D58" s="27" t="n">
        <f aca="false">$D$32*(H58*G58)/($H$32*$G$32)</f>
        <v>70.2961014549898</v>
      </c>
      <c r="E58" s="27" t="n">
        <f aca="false">E57*(1+I58)</f>
        <v>38.165261210337</v>
      </c>
      <c r="F58" s="41" t="n">
        <f aca="false">'GDP and Population'!B45</f>
        <v>4463.61517675122</v>
      </c>
      <c r="G58" s="42" t="n">
        <f aca="false">'GDP and Population'!D45</f>
        <v>357.001017</v>
      </c>
      <c r="H58" s="42" t="n">
        <f aca="false">'Gompertz fit'!$B$12*EXP('Gompertz fit'!$B$24*EXP('Gompertz fit'!$B$25*F58))</f>
        <v>160.556368102559</v>
      </c>
      <c r="I58" s="56" t="n">
        <f aca="false">$B$13+(0.722222)*($B$14-$B$13)</f>
        <v>0.0342075087927872</v>
      </c>
      <c r="J58" s="27"/>
    </row>
    <row r="59" customFormat="false" ht="15" hidden="false" customHeight="true" outlineLevel="0" collapsed="false">
      <c r="A59" s="5" t="n">
        <v>2051</v>
      </c>
      <c r="B59" s="27"/>
      <c r="C59" s="27" t="n">
        <f aca="false">C58*(1+$B$12)</f>
        <v>87.9122281194358</v>
      </c>
      <c r="D59" s="27" t="n">
        <f aca="false">$D$32*(H59*G59)/($H$32*$G$32)</f>
        <v>73.5295771068626</v>
      </c>
      <c r="E59" s="27" t="n">
        <f aca="false">E58*(1+I59)</f>
        <v>39.4629648626403</v>
      </c>
      <c r="F59" s="41" t="n">
        <f aca="false">'GDP and Population'!B46</f>
        <v>4575.20555617</v>
      </c>
      <c r="G59" s="42" t="n">
        <f aca="false">'GDP and Population'!D46</f>
        <v>361.370094</v>
      </c>
      <c r="H59" s="42" t="n">
        <f aca="false">'Gompertz fit'!$B$12*EXP('Gompertz fit'!$B$24*EXP('Gompertz fit'!$B$25*F59))</f>
        <v>165.911163203895</v>
      </c>
      <c r="I59" s="56" t="n">
        <f aca="false">$B$13+(0.75)*($B$14-$B$13)</f>
        <v>0.0340022211600067</v>
      </c>
      <c r="J59" s="27"/>
    </row>
    <row r="60" customFormat="false" ht="15" hidden="false" customHeight="true" outlineLevel="0" collapsed="false">
      <c r="A60" s="5" t="n">
        <v>2052</v>
      </c>
      <c r="B60" s="27"/>
      <c r="C60" s="27" t="n">
        <f aca="false">C59*(1+$B$12)</f>
        <v>93.880065273362</v>
      </c>
      <c r="D60" s="27" t="n">
        <f aca="false">$D$32*(H60*G60)/($H$32*$G$32)</f>
        <v>76.8132705317861</v>
      </c>
      <c r="E60" s="27" t="n">
        <f aca="false">E59*(1+I60)</f>
        <v>40.7966920628902</v>
      </c>
      <c r="F60" s="41" t="n">
        <f aca="false">'GDP and Population'!B47</f>
        <v>4689.58569507424</v>
      </c>
      <c r="G60" s="42" t="n">
        <f aca="false">'GDP and Population'!D47</f>
        <v>365.677127</v>
      </c>
      <c r="H60" s="42" t="n">
        <f aca="false">'Gompertz fit'!$B$12*EXP('Gompertz fit'!$B$24*EXP('Gompertz fit'!$B$25*F60))</f>
        <v>171.279035703758</v>
      </c>
      <c r="I60" s="56" t="n">
        <f aca="false">$B$13+(0.777778)*($B$14-$B$13)</f>
        <v>0.0337969335272262</v>
      </c>
      <c r="J60" s="27"/>
    </row>
    <row r="61" customFormat="false" ht="15" hidden="false" customHeight="true" outlineLevel="0" collapsed="false">
      <c r="A61" s="5" t="n">
        <v>2053</v>
      </c>
      <c r="B61" s="27"/>
      <c r="C61" s="27" t="n">
        <f aca="false">C60*(1+$B$12)</f>
        <v>100.253023319542</v>
      </c>
      <c r="D61" s="27" t="n">
        <f aca="false">$D$32*(H61*G61)/($H$32*$G$32)</f>
        <v>80.1422498559187</v>
      </c>
      <c r="E61" s="27" t="n">
        <f aca="false">E60*(1+I61)</f>
        <v>42.1671200963316</v>
      </c>
      <c r="F61" s="41" t="n">
        <f aca="false">'GDP and Population'!B48</f>
        <v>4806.8253374511</v>
      </c>
      <c r="G61" s="42" t="n">
        <f aca="false">'GDP and Population'!D48</f>
        <v>369.930286</v>
      </c>
      <c r="H61" s="42" t="n">
        <f aca="false">'Gompertz fit'!$B$12*EXP('Gompertz fit'!$B$24*EXP('Gompertz fit'!$B$25*F61))</f>
        <v>176.647457410238</v>
      </c>
      <c r="I61" s="56" t="n">
        <f aca="false">$B$13+(0.805556)*($B$14-$B$13)</f>
        <v>0.0335916458944457</v>
      </c>
      <c r="J61" s="27"/>
    </row>
    <row r="62" customFormat="false" ht="15" hidden="false" customHeight="true" outlineLevel="0" collapsed="false">
      <c r="A62" s="5" t="n">
        <v>2054</v>
      </c>
      <c r="B62" s="27"/>
      <c r="C62" s="27" t="n">
        <f aca="false">C61*(1+$B$12)</f>
        <v>107.058603500572</v>
      </c>
      <c r="D62" s="27" t="n">
        <f aca="false">$D$32*(H62*G62)/($H$32*$G$32)</f>
        <v>83.5069132976323</v>
      </c>
      <c r="E62" s="27" t="n">
        <f aca="false">E61*(1+I62)</f>
        <v>43.5749269863578</v>
      </c>
      <c r="F62" s="41" t="n">
        <f aca="false">'GDP and Population'!B49</f>
        <v>4926.99597088738</v>
      </c>
      <c r="G62" s="42" t="n">
        <f aca="false">'GDP and Population'!D49</f>
        <v>374.117559</v>
      </c>
      <c r="H62" s="42" t="n">
        <f aca="false">'Gompertz fit'!$B$12*EXP('Gompertz fit'!$B$24*EXP('Gompertz fit'!$B$25*F62))</f>
        <v>182.00364577829</v>
      </c>
      <c r="I62" s="56" t="n">
        <f aca="false">$B$13+(0.833333)*($B$14-$B$13)</f>
        <v>0.0333863656519608</v>
      </c>
      <c r="J62" s="27"/>
    </row>
    <row r="63" customFormat="false" ht="15" hidden="false" customHeight="true" outlineLevel="0" collapsed="false">
      <c r="A63" s="5" t="n">
        <v>2055</v>
      </c>
      <c r="B63" s="27"/>
      <c r="C63" s="27" t="n">
        <f aca="false">C62*(1+$B$12)</f>
        <v>114.326173954482</v>
      </c>
      <c r="D63" s="27" t="n">
        <f aca="false">$D$32*(H63*G63)/($H$32*$G$32)</f>
        <v>86.8993898110927</v>
      </c>
      <c r="E63" s="27" t="n">
        <f aca="false">E62*(1+I63)</f>
        <v>45.0207900383723</v>
      </c>
      <c r="F63" s="41" t="n">
        <f aca="false">'GDP and Population'!B50</f>
        <v>5050.17087015956</v>
      </c>
      <c r="G63" s="42" t="n">
        <f aca="false">'GDP and Population'!D50</f>
        <v>378.237281</v>
      </c>
      <c r="H63" s="42" t="n">
        <f aca="false">'Gompertz fit'!$B$12*EXP('Gompertz fit'!$B$24*EXP('Gompertz fit'!$B$25*F63))</f>
        <v>187.33466269334</v>
      </c>
      <c r="I63" s="56" t="n">
        <f aca="false">$B$13+(0.861111)*($B$14-$B$13)</f>
        <v>0.0331810780191803</v>
      </c>
      <c r="J63" s="27"/>
    </row>
    <row r="64" customFormat="false" ht="15" hidden="false" customHeight="true" outlineLevel="0" collapsed="false">
      <c r="A64" s="5" t="n">
        <v>2056</v>
      </c>
      <c r="B64" s="27"/>
      <c r="C64" s="27" t="n">
        <f aca="false">C63*(1+$B$12)</f>
        <v>122.087096447139</v>
      </c>
      <c r="D64" s="27" t="n">
        <f aca="false">$D$32*(H64*G64)/($H$32*$G$32)</f>
        <v>90.3143050524436</v>
      </c>
      <c r="E64" s="27" t="n">
        <f aca="false">E63*(1+I64)</f>
        <v>46.5053861737077</v>
      </c>
      <c r="F64" s="41" t="n">
        <f aca="false">'GDP and Population'!B51</f>
        <v>5176.42514191355</v>
      </c>
      <c r="G64" s="42" t="n">
        <f aca="false">'GDP and Population'!D51</f>
        <v>382.299706</v>
      </c>
      <c r="H64" s="42" t="n">
        <f aca="false">'Gompertz fit'!$B$12*EXP('Gompertz fit'!$B$24*EXP('Gompertz fit'!$B$25*F64))</f>
        <v>192.627518134985</v>
      </c>
      <c r="I64" s="56" t="n">
        <f aca="false">$B$13+(0.888889)*($B$14-$B$13)</f>
        <v>0.0329757903863998</v>
      </c>
      <c r="J64" s="27"/>
    </row>
    <row r="65" customFormat="false" ht="15" hidden="false" customHeight="true" outlineLevel="0" collapsed="false">
      <c r="A65" s="5" t="n">
        <v>2057</v>
      </c>
      <c r="B65" s="27"/>
      <c r="C65" s="27" t="n">
        <f aca="false">C64*(1+$B$12)</f>
        <v>130.374861707762</v>
      </c>
      <c r="D65" s="27" t="n">
        <f aca="false">$D$32*(H65*G65)/($H$32*$G$32)</f>
        <v>93.7430730931674</v>
      </c>
      <c r="E65" s="27" t="n">
        <f aca="false">E64*(1+I65)</f>
        <v>48.0293910593714</v>
      </c>
      <c r="F65" s="41" t="n">
        <f aca="false">'GDP and Population'!B52</f>
        <v>5305.83577046139</v>
      </c>
      <c r="G65" s="42" t="n">
        <f aca="false">'GDP and Population'!D52</f>
        <v>386.301654</v>
      </c>
      <c r="H65" s="42" t="n">
        <f aca="false">'Gompertz fit'!$B$12*EXP('Gompertz fit'!$B$24*EXP('Gompertz fit'!$B$25*F65))</f>
        <v>197.869277283737</v>
      </c>
      <c r="I65" s="56" t="n">
        <f aca="false">$B$13+(0.916667)*($B$14-$B$13)</f>
        <v>0.0327705027536193</v>
      </c>
      <c r="J65" s="27"/>
    </row>
    <row r="66" customFormat="false" ht="15" hidden="false" customHeight="true" outlineLevel="0" collapsed="false">
      <c r="A66" s="5" t="n">
        <v>2058</v>
      </c>
      <c r="B66" s="27"/>
      <c r="C66" s="27" t="n">
        <f aca="false">C65*(1+$B$12)</f>
        <v>139.225233951547</v>
      </c>
      <c r="D66" s="27" t="n">
        <f aca="false">$D$32*(H66*G66)/($H$32*$G$32)</f>
        <v>97.1755247099644</v>
      </c>
      <c r="E66" s="27" t="n">
        <f aca="false">E65*(1+I66)</f>
        <v>49.5934788662941</v>
      </c>
      <c r="F66" s="41" t="n">
        <f aca="false">'GDP and Population'!B53</f>
        <v>5438.48166472292</v>
      </c>
      <c r="G66" s="42" t="n">
        <f aca="false">'GDP and Population'!D53</f>
        <v>390.234537</v>
      </c>
      <c r="H66" s="42" t="n">
        <f aca="false">'Gompertz fit'!$B$12*EXP('Gompertz fit'!$B$24*EXP('Gompertz fit'!$B$25*F66))</f>
        <v>203.047169513106</v>
      </c>
      <c r="I66" s="56" t="n">
        <f aca="false">$B$13+(0.944444)*($B$14-$B$13)</f>
        <v>0.0325652225111344</v>
      </c>
      <c r="J66" s="27"/>
    </row>
    <row r="67" customFormat="false" ht="15" hidden="false" customHeight="true" outlineLevel="0" collapsed="false">
      <c r="A67" s="5" t="n">
        <v>2059</v>
      </c>
      <c r="B67" s="27"/>
      <c r="C67" s="27" t="n">
        <f aca="false">C66*(1+$B$12)</f>
        <v>148.676405213085</v>
      </c>
      <c r="D67" s="27" t="n">
        <f aca="false">$D$32*(H67*G67)/($H$32*$G$32)</f>
        <v>100.605558589369</v>
      </c>
      <c r="E67" s="27" t="n">
        <f aca="false">E66*(1+I67)</f>
        <v>51.1983206127984</v>
      </c>
      <c r="F67" s="41" t="n">
        <f aca="false">'GDP and Population'!B54</f>
        <v>5574.443706341</v>
      </c>
      <c r="G67" s="42" t="n">
        <f aca="false">'GDP and Population'!D54</f>
        <v>394.10689</v>
      </c>
      <c r="H67" s="42" t="n">
        <f aca="false">'Gompertz fit'!$B$12*EXP('Gompertz fit'!$B$24*EXP('Gompertz fit'!$B$25*F67))</f>
        <v>208.148697621504</v>
      </c>
      <c r="I67" s="56" t="n">
        <f aca="false">$B$13+(0.972222)*($B$14-$B$13)</f>
        <v>0.0323599348783539</v>
      </c>
      <c r="J67" s="27"/>
    </row>
    <row r="68" customFormat="false" ht="15" hidden="false" customHeight="true" outlineLevel="0" collapsed="false">
      <c r="A68" s="5" t="n">
        <v>2060</v>
      </c>
      <c r="B68" s="27"/>
      <c r="C68" s="27" t="n">
        <f aca="false">C67*(1+$B$12)</f>
        <v>158.769160156543</v>
      </c>
      <c r="D68" s="27" t="n">
        <f aca="false">$D$32*(H68*G68)/($H$32*$G$32)</f>
        <v>104.023244539157</v>
      </c>
      <c r="E68" s="27" t="n">
        <f aca="false">E67*(1+I68)</f>
        <v>52.8445845516687</v>
      </c>
      <c r="F68" s="41" t="n">
        <f aca="false">'GDP and Population'!B55</f>
        <v>5713.80479899952</v>
      </c>
      <c r="G68" s="42" t="n">
        <f aca="false">'GDP and Population'!D55</f>
        <v>397.911853</v>
      </c>
      <c r="H68" s="42" t="n">
        <f aca="false">'Gompertz fit'!$B$12*EXP('Gompertz fit'!$B$24*EXP('Gompertz fit'!$B$25*F68))</f>
        <v>213.161745607412</v>
      </c>
      <c r="I68" s="56" t="n">
        <f aca="false">$B$13+(1)*($B$14-$B$13)</f>
        <v>0.0321546472455734</v>
      </c>
      <c r="J68" s="27"/>
    </row>
    <row r="69" customFormat="false" ht="23.25" hidden="false" customHeight="true" outlineLevel="0" collapsed="false">
      <c r="A69" s="22" t="s">
        <v>179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customFormat="false" ht="15" hidden="false" customHeight="true" outlineLevel="0" collapsed="false">
      <c r="A70" s="5" t="s">
        <v>180</v>
      </c>
      <c r="B70" s="59" t="n">
        <f aca="false">'Gompertz fit'!B12*B15</f>
        <v>367.921787100056</v>
      </c>
    </row>
    <row r="71" customFormat="false" ht="15" hidden="false" customHeight="true" outlineLevel="0" collapsed="false">
      <c r="A71" s="45" t="s">
        <v>181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customFormat="false" ht="15" hidden="false" customHeight="true" outlineLevel="0" collapsed="false">
      <c r="A72" s="5" t="s">
        <v>182</v>
      </c>
      <c r="C72" s="60" t="n">
        <v>0.396975412098352</v>
      </c>
      <c r="D72" s="60" t="n">
        <v>0.465365138539446</v>
      </c>
      <c r="E72" s="60" t="n">
        <v>0.0811616753532986</v>
      </c>
      <c r="F72" s="60" t="n">
        <v>0.0549417802328791</v>
      </c>
      <c r="G72" s="60" t="n">
        <v>0.000777996888012448</v>
      </c>
      <c r="H72" s="60" t="n">
        <v>0.000777996888012448</v>
      </c>
    </row>
    <row r="74" customFormat="false" ht="15" hidden="false" customHeight="true" outlineLevel="0" collapsed="false">
      <c r="A74" s="45" t="s">
        <v>183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customFormat="false" ht="15" hidden="false" customHeight="true" outlineLevel="0" collapsed="false">
      <c r="A75" s="46" t="s">
        <v>118</v>
      </c>
      <c r="B75" s="46" t="s">
        <v>184</v>
      </c>
      <c r="C75" s="46" t="s">
        <v>8</v>
      </c>
      <c r="D75" s="46" t="s">
        <v>11</v>
      </c>
      <c r="E75" s="46" t="s">
        <v>14</v>
      </c>
      <c r="F75" s="46" t="s">
        <v>16</v>
      </c>
      <c r="G75" s="46" t="s">
        <v>18</v>
      </c>
      <c r="H75" s="46" t="s">
        <v>20</v>
      </c>
    </row>
    <row r="76" customFormat="false" ht="15" hidden="false" customHeight="true" outlineLevel="0" collapsed="false">
      <c r="A76" s="5" t="n">
        <v>2010</v>
      </c>
      <c r="B76" s="27" t="n">
        <f aca="false">C18</f>
        <v>8.671474</v>
      </c>
      <c r="C76" s="27" t="n">
        <f aca="false">$B76*$C$72</f>
        <v>3.44236196465015</v>
      </c>
      <c r="D76" s="27" t="n">
        <f aca="false">$B76*$D$72</f>
        <v>4.0354016993512</v>
      </c>
      <c r="E76" s="27" t="n">
        <f aca="false">$B76*$E$72</f>
        <v>0.70379135762257</v>
      </c>
      <c r="F76" s="27" t="n">
        <f aca="false">$B76*$F$72</f>
        <v>0.476426218803125</v>
      </c>
      <c r="G76" s="27" t="n">
        <f aca="false">$B76*$G$72</f>
        <v>0.00674637978648085</v>
      </c>
      <c r="H76" s="27" t="n">
        <f aca="false">$B76*$H$72</f>
        <v>0.00674637978648085</v>
      </c>
    </row>
    <row r="77" customFormat="false" ht="15" hidden="false" customHeight="true" outlineLevel="0" collapsed="false">
      <c r="A77" s="5" t="n">
        <v>2011</v>
      </c>
      <c r="B77" s="27" t="n">
        <f aca="false">C19</f>
        <v>9.02366360779177</v>
      </c>
      <c r="C77" s="27" t="n">
        <f aca="false">$B77*$C$72</f>
        <v>3.58217257934004</v>
      </c>
      <c r="D77" s="27" t="n">
        <f aca="false">$B77*$D$72</f>
        <v>4.19929846497337</v>
      </c>
      <c r="E77" s="27" t="n">
        <f aca="false">$B77*$E$72</f>
        <v>0.732375656232971</v>
      </c>
      <c r="F77" s="27" t="n">
        <f aca="false">$B77*$F$72</f>
        <v>0.495776142834724</v>
      </c>
      <c r="G77" s="27" t="n">
        <f aca="false">$B77*$G$72</f>
        <v>0.00702038220533317</v>
      </c>
      <c r="H77" s="27" t="n">
        <f aca="false">$B77*$H$72</f>
        <v>0.00702038220533317</v>
      </c>
    </row>
    <row r="78" customFormat="false" ht="15" hidden="false" customHeight="true" outlineLevel="0" collapsed="false">
      <c r="A78" s="5" t="n">
        <v>2012</v>
      </c>
      <c r="B78" s="27" t="n">
        <f aca="false">C20</f>
        <v>9.39015730273602</v>
      </c>
      <c r="C78" s="27" t="n">
        <f aca="false">$B78*$C$72</f>
        <v>3.72766156492198</v>
      </c>
      <c r="D78" s="27" t="n">
        <f aca="false">$B78*$D$72</f>
        <v>4.36985185409494</v>
      </c>
      <c r="E78" s="27" t="n">
        <f aca="false">$B78*$E$72</f>
        <v>0.762120898521067</v>
      </c>
      <c r="F78" s="27" t="n">
        <f aca="false">$B78*$F$72</f>
        <v>0.515911958879087</v>
      </c>
      <c r="G78" s="27" t="n">
        <f aca="false">$B78*$G$72</f>
        <v>0.00730551315947599</v>
      </c>
      <c r="H78" s="27" t="n">
        <f aca="false">$B78*$H$72</f>
        <v>0.00730551315947599</v>
      </c>
    </row>
    <row r="79" customFormat="false" ht="15" hidden="false" customHeight="true" outlineLevel="0" collapsed="false">
      <c r="A79" s="5" t="n">
        <v>2013</v>
      </c>
      <c r="B79" s="27" t="n">
        <f aca="false">C21</f>
        <v>9.7715360415241</v>
      </c>
      <c r="C79" s="27" t="n">
        <f aca="false">$B79*$C$72</f>
        <v>3.87905954691793</v>
      </c>
      <c r="D79" s="27" t="n">
        <f aca="false">$B79*$D$72</f>
        <v>4.54733222370705</v>
      </c>
      <c r="E79" s="27" t="n">
        <f aca="false">$B79*$E$72</f>
        <v>0.793074235905235</v>
      </c>
      <c r="F79" s="27" t="n">
        <f aca="false">$B79*$F$72</f>
        <v>0.536865585731075</v>
      </c>
      <c r="G79" s="27" t="n">
        <f aca="false">$B79*$G$72</f>
        <v>0.00760222463140722</v>
      </c>
      <c r="H79" s="27" t="n">
        <f aca="false">$B79*$H$72</f>
        <v>0.00760222463140722</v>
      </c>
    </row>
    <row r="80" customFormat="false" ht="15" hidden="false" customHeight="true" outlineLevel="0" collapsed="false">
      <c r="A80" s="5" t="n">
        <v>2014</v>
      </c>
      <c r="B80" s="27" t="n">
        <f aca="false">C22</f>
        <v>10.1684072099971</v>
      </c>
      <c r="C80" s="27" t="n">
        <f aca="false">$B80*$C$72</f>
        <v>4.03660764257245</v>
      </c>
      <c r="D80" s="27" t="n">
        <f aca="false">$B80*$D$72</f>
        <v>4.73202223000579</v>
      </c>
      <c r="E80" s="27" t="n">
        <f aca="false">$B80*$E$72</f>
        <v>0.825284964837924</v>
      </c>
      <c r="F80" s="27" t="n">
        <f aca="false">$B80*$F$72</f>
        <v>0.558670394250083</v>
      </c>
      <c r="G80" s="27" t="n">
        <f aca="false">$B80*$G$72</f>
        <v>0.00791098916542107</v>
      </c>
      <c r="H80" s="27" t="n">
        <f aca="false">$B80*$H$72</f>
        <v>0.00791098916542107</v>
      </c>
    </row>
    <row r="81" customFormat="false" ht="15" hidden="false" customHeight="true" outlineLevel="0" collapsed="false">
      <c r="A81" s="5" t="n">
        <v>2015</v>
      </c>
      <c r="B81" s="27" t="n">
        <f aca="false">C23</f>
        <v>10.5813943615651</v>
      </c>
      <c r="C81" s="27" t="n">
        <f aca="false">$B81*$C$72</f>
        <v>4.20055338725747</v>
      </c>
      <c r="D81" s="27" t="n">
        <f aca="false">$B81*$D$72</f>
        <v>4.92421205301024</v>
      </c>
      <c r="E81" s="27" t="n">
        <f aca="false">$B81*$E$72</f>
        <v>0.858803693958569</v>
      </c>
      <c r="F81" s="27" t="n">
        <f aca="false">$B81*$F$72</f>
        <v>0.581360643570534</v>
      </c>
      <c r="G81" s="27" t="n">
        <f aca="false">$B81*$G$72</f>
        <v>0.00823229188413009</v>
      </c>
      <c r="H81" s="27" t="n">
        <f aca="false">$B81*$H$72</f>
        <v>0.00823229188413009</v>
      </c>
    </row>
    <row r="82" customFormat="false" ht="15" hidden="false" customHeight="true" outlineLevel="0" collapsed="false">
      <c r="A82" s="5" t="n">
        <v>2016</v>
      </c>
      <c r="B82" s="27" t="n">
        <f aca="false">C24</f>
        <v>11.0111548763391</v>
      </c>
      <c r="C82" s="27" t="n">
        <f aca="false">$B82*$C$72</f>
        <v>4.37115774471349</v>
      </c>
      <c r="D82" s="27" t="n">
        <f aca="false">$B82*$D$72</f>
        <v>5.12420761450684</v>
      </c>
      <c r="E82" s="27" t="n">
        <f aca="false">$B82*$E$72</f>
        <v>0.893683777338325</v>
      </c>
      <c r="F82" s="27" t="n">
        <f aca="false">$B82*$F$72</f>
        <v>0.604972451326018</v>
      </c>
      <c r="G82" s="27" t="n">
        <f aca="false">$B82*$G$72</f>
        <v>0.00856664422721491</v>
      </c>
      <c r="H82" s="27" t="n">
        <f aca="false">$B82*$H$72</f>
        <v>0.00856664422721491</v>
      </c>
    </row>
    <row r="83" customFormat="false" ht="15" hidden="false" customHeight="true" outlineLevel="0" collapsed="false">
      <c r="A83" s="5" t="n">
        <v>2017</v>
      </c>
      <c r="B83" s="27" t="n">
        <f aca="false">C25</f>
        <v>11.45837</v>
      </c>
      <c r="C83" s="27" t="n">
        <f aca="false">$B83*$C$72</f>
        <v>4.54869115272539</v>
      </c>
      <c r="D83" s="27" t="n">
        <f aca="false">$B83*$D$72</f>
        <v>5.33232594248623</v>
      </c>
      <c r="E83" s="27" t="n">
        <f aca="false">$B83*$E$72</f>
        <v>0.929980506017976</v>
      </c>
      <c r="F83" s="27" t="n">
        <f aca="false">$B83*$F$72</f>
        <v>0.629543246367015</v>
      </c>
      <c r="G83" s="27" t="n">
        <f aca="false">$B83*$G$72</f>
        <v>0.00891457620169519</v>
      </c>
      <c r="H83" s="27" t="n">
        <f aca="false">$B83*$H$72</f>
        <v>0.00891457620169519</v>
      </c>
    </row>
    <row r="84" customFormat="false" ht="15" hidden="false" customHeight="true" outlineLevel="0" collapsed="false">
      <c r="A84" s="5" t="n">
        <v>2018</v>
      </c>
      <c r="B84" s="27" t="n">
        <f aca="false">C26</f>
        <v>11.826033</v>
      </c>
      <c r="C84" s="27" t="n">
        <f aca="false">$B84*$C$72</f>
        <v>4.69464432366371</v>
      </c>
      <c r="D84" s="27" t="n">
        <f aca="false">$B84*$D$72</f>
        <v>5.50342348541706</v>
      </c>
      <c r="E84" s="27" t="n">
        <f aca="false">$B84*$E$72</f>
        <v>0.959820651063396</v>
      </c>
      <c r="F84" s="27" t="n">
        <f aca="false">$B84*$F$72</f>
        <v>0.649743306112776</v>
      </c>
      <c r="G84" s="27" t="n">
        <f aca="false">$B84*$G$72</f>
        <v>0.00920061687153252</v>
      </c>
      <c r="H84" s="27" t="n">
        <f aca="false">$B84*$H$72</f>
        <v>0.00920061687153252</v>
      </c>
    </row>
    <row r="85" customFormat="false" ht="15" hidden="false" customHeight="true" outlineLevel="0" collapsed="false">
      <c r="A85" s="5" t="n">
        <v>2019</v>
      </c>
      <c r="B85" s="27" t="n">
        <f aca="false">C27</f>
        <v>12.2936927997576</v>
      </c>
      <c r="C85" s="27" t="n">
        <f aca="false">$B85*$C$72</f>
        <v>4.88029376539432</v>
      </c>
      <c r="D85" s="27" t="n">
        <f aca="false">$B85*$D$72</f>
        <v>5.7210560529206</v>
      </c>
      <c r="E85" s="27" t="n">
        <f aca="false">$B85*$E$72</f>
        <v>0.997776703907113</v>
      </c>
      <c r="F85" s="27" t="n">
        <f aca="false">$B85*$F$72</f>
        <v>0.675437368054811</v>
      </c>
      <c r="G85" s="27" t="n">
        <f aca="false">$B85*$G$72</f>
        <v>0.00956445474039247</v>
      </c>
      <c r="H85" s="27" t="n">
        <f aca="false">$B85*$H$72</f>
        <v>0.00956445474039247</v>
      </c>
    </row>
    <row r="86" customFormat="false" ht="15" hidden="false" customHeight="true" outlineLevel="0" collapsed="false">
      <c r="A86" s="5" t="n">
        <v>2020</v>
      </c>
      <c r="B86" s="27" t="n">
        <f aca="false">C28</f>
        <v>12.7798461795948</v>
      </c>
      <c r="C86" s="27" t="n">
        <f aca="false">$B86*$C$72</f>
        <v>5.07328470369821</v>
      </c>
      <c r="D86" s="27" t="n">
        <f aca="false">$B86*$D$72</f>
        <v>5.94729488787996</v>
      </c>
      <c r="E86" s="27" t="n">
        <f aca="false">$B86*$E$72</f>
        <v>1.03723372669337</v>
      </c>
      <c r="F86" s="27" t="n">
        <f aca="false">$B86*$F$72</f>
        <v>0.702147500209299</v>
      </c>
      <c r="G86" s="27" t="n">
        <f aca="false">$B86*$G$72</f>
        <v>0.00994268055700255</v>
      </c>
      <c r="H86" s="27" t="n">
        <f aca="false">$B86*$H$72</f>
        <v>0.00994268055700255</v>
      </c>
    </row>
    <row r="87" customFormat="false" ht="15" hidden="false" customHeight="true" outlineLevel="0" collapsed="false">
      <c r="A87" s="5" t="n">
        <v>2021</v>
      </c>
      <c r="B87" s="27" t="n">
        <f aca="false">C29</f>
        <v>13.2852244670799</v>
      </c>
      <c r="C87" s="27" t="n">
        <f aca="false">$B87*$C$72</f>
        <v>5.27390745763817</v>
      </c>
      <c r="D87" s="27" t="n">
        <f aca="false">$B87*$D$72</f>
        <v>6.1824803246503</v>
      </c>
      <c r="E87" s="27" t="n">
        <f aca="false">$B87*$E$72</f>
        <v>1.07825107519284</v>
      </c>
      <c r="F87" s="27" t="n">
        <f aca="false">$B87*$F$72</f>
        <v>0.729913883014775</v>
      </c>
      <c r="G87" s="27" t="n">
        <f aca="false">$B87*$G$72</f>
        <v>0.010335863291935</v>
      </c>
      <c r="H87" s="27" t="n">
        <f aca="false">$B87*$H$72</f>
        <v>0.010335863291935</v>
      </c>
    </row>
    <row r="88" customFormat="false" ht="15" hidden="false" customHeight="true" outlineLevel="0" collapsed="false">
      <c r="A88" s="5" t="n">
        <v>2022</v>
      </c>
      <c r="B88" s="27" t="n">
        <f aca="false">C30</f>
        <v>13.8105879100882</v>
      </c>
      <c r="C88" s="27" t="n">
        <f aca="false">$B88*$C$72</f>
        <v>5.4824638269278</v>
      </c>
      <c r="D88" s="27" t="n">
        <f aca="false">$B88*$D$72</f>
        <v>6.42696615608941</v>
      </c>
      <c r="E88" s="27" t="n">
        <f aca="false">$B88*$E$72</f>
        <v>1.12089045239677</v>
      </c>
      <c r="F88" s="27" t="n">
        <f aca="false">$B88*$F$72</f>
        <v>0.758778285842925</v>
      </c>
      <c r="G88" s="27" t="n">
        <f aca="false">$B88*$G$72</f>
        <v>0.010744594415671</v>
      </c>
      <c r="H88" s="27" t="n">
        <f aca="false">$B88*$H$72</f>
        <v>0.010744594415671</v>
      </c>
    </row>
    <row r="89" customFormat="false" ht="15" hidden="false" customHeight="true" outlineLevel="0" collapsed="false">
      <c r="A89" s="5" t="n">
        <v>2023</v>
      </c>
      <c r="B89" s="27" t="n">
        <f aca="false">C31</f>
        <v>14.3567268204538</v>
      </c>
      <c r="C89" s="27" t="n">
        <f aca="false">$B89*$C$72</f>
        <v>5.6992675459331</v>
      </c>
      <c r="D89" s="27" t="n">
        <f aca="false">$B89*$D$72</f>
        <v>6.68112016577345</v>
      </c>
      <c r="E89" s="27" t="n">
        <f aca="false">$B89*$E$72</f>
        <v>1.16521600133766</v>
      </c>
      <c r="F89" s="27" t="n">
        <f aca="false">$B89*$F$72</f>
        <v>0.788784129832852</v>
      </c>
      <c r="G89" s="27" t="n">
        <f aca="false">$B89*$G$72</f>
        <v>0.0111694887883579</v>
      </c>
      <c r="H89" s="27" t="n">
        <f aca="false">$B89*$H$72</f>
        <v>0.0111694887883579</v>
      </c>
    </row>
    <row r="90" customFormat="false" ht="15" hidden="false" customHeight="true" outlineLevel="0" collapsed="false">
      <c r="A90" s="5" t="n">
        <v>2024</v>
      </c>
      <c r="B90" s="27" t="n">
        <f aca="false">C32</f>
        <v>14.924462762847</v>
      </c>
      <c r="C90" s="27" t="n">
        <f aca="false">$B90*$C$72</f>
        <v>5.92464475562769</v>
      </c>
      <c r="D90" s="27" t="n">
        <f aca="false">$B90*$D$72</f>
        <v>6.94532468125909</v>
      </c>
      <c r="E90" s="27" t="n">
        <f aca="false">$B90*$E$72</f>
        <v>1.21129440158058</v>
      </c>
      <c r="F90" s="27" t="n">
        <f aca="false">$B90*$F$72</f>
        <v>0.819976553210127</v>
      </c>
      <c r="G90" s="27" t="n">
        <f aca="false">$B90*$G$72</f>
        <v>0.0116111855847526</v>
      </c>
      <c r="H90" s="27" t="n">
        <f aca="false">$B90*$H$72</f>
        <v>0.0116111855847526</v>
      </c>
    </row>
    <row r="91" customFormat="false" ht="15" hidden="false" customHeight="true" outlineLevel="0" collapsed="false">
      <c r="A91" s="5" t="n">
        <v>2025</v>
      </c>
      <c r="B91" s="27" t="n">
        <f aca="false">C33</f>
        <v>15.9375955804739</v>
      </c>
      <c r="C91" s="27" t="n">
        <f aca="false">$B91*$C$72</f>
        <v>6.32683357341551</v>
      </c>
      <c r="D91" s="27" t="n">
        <f aca="false">$B91*$D$72</f>
        <v>7.41680137529291</v>
      </c>
      <c r="E91" s="27" t="n">
        <f aca="false">$B91*$E$72</f>
        <v>1.29352195841459</v>
      </c>
      <c r="F91" s="27" t="n">
        <f aca="false">$B91*$F$72</f>
        <v>0.875639873822904</v>
      </c>
      <c r="G91" s="27" t="n">
        <f aca="false">$B91*$G$72</f>
        <v>0.0123993997640097</v>
      </c>
      <c r="H91" s="27" t="n">
        <f aca="false">$B91*$H$72</f>
        <v>0.0123993997640097</v>
      </c>
    </row>
    <row r="92" customFormat="false" ht="15" hidden="false" customHeight="true" outlineLevel="0" collapsed="false">
      <c r="A92" s="5" t="n">
        <v>2026</v>
      </c>
      <c r="B92" s="27" t="n">
        <f aca="false">C34</f>
        <v>17.01950394617</v>
      </c>
      <c r="C92" s="27" t="n">
        <f aca="false">$B92*$C$72</f>
        <v>6.75632459274038</v>
      </c>
      <c r="D92" s="27" t="n">
        <f aca="false">$B92*$D$72</f>
        <v>7.92028381178207</v>
      </c>
      <c r="E92" s="27" t="n">
        <f aca="false">$B92*$E$72</f>
        <v>1.38133145395324</v>
      </c>
      <c r="F92" s="27" t="n">
        <f aca="false">$B92*$F$72</f>
        <v>0.935081845483093</v>
      </c>
      <c r="G92" s="27" t="n">
        <f aca="false">$B92*$G$72</f>
        <v>0.0132411211056359</v>
      </c>
      <c r="H92" s="27" t="n">
        <f aca="false">$B92*$H$72</f>
        <v>0.0132411211056359</v>
      </c>
    </row>
    <row r="93" customFormat="false" ht="15" hidden="false" customHeight="true" outlineLevel="0" collapsed="false">
      <c r="A93" s="5" t="n">
        <v>2027</v>
      </c>
      <c r="B93" s="27" t="n">
        <f aca="false">C35</f>
        <v>18.1748566219475</v>
      </c>
      <c r="C93" s="27" t="n">
        <f aca="false">$B93*$C$72</f>
        <v>7.21497119732607</v>
      </c>
      <c r="D93" s="27" t="n">
        <f aca="false">$B93*$D$72</f>
        <v>8.45794466980716</v>
      </c>
      <c r="E93" s="27" t="n">
        <f aca="false">$B93*$E$72</f>
        <v>1.47510181274325</v>
      </c>
      <c r="F93" s="27" t="n">
        <f aca="false">$B93*$F$72</f>
        <v>0.998558978287127</v>
      </c>
      <c r="G93" s="27" t="n">
        <f aca="false">$B93*$G$72</f>
        <v>0.0141399818919476</v>
      </c>
      <c r="H93" s="27" t="n">
        <f aca="false">$B93*$H$72</f>
        <v>0.0141399818919476</v>
      </c>
    </row>
    <row r="94" customFormat="false" ht="15" hidden="false" customHeight="true" outlineLevel="0" collapsed="false">
      <c r="A94" s="5" t="n">
        <v>2028</v>
      </c>
      <c r="B94" s="27" t="n">
        <f aca="false">C36</f>
        <v>19.4086393042426</v>
      </c>
      <c r="C94" s="27" t="n">
        <f aca="false">$B94*$C$72</f>
        <v>7.70475258606999</v>
      </c>
      <c r="D94" s="27" t="n">
        <f aca="false">$B94*$D$72</f>
        <v>9.03210411868101</v>
      </c>
      <c r="E94" s="27" t="n">
        <f aca="false">$B94*$E$72</f>
        <v>1.57523768226021</v>
      </c>
      <c r="F94" s="27" t="n">
        <f aca="false">$B94*$F$72</f>
        <v>1.06634519527292</v>
      </c>
      <c r="G94" s="27" t="n">
        <f aca="false">$B94*$G$72</f>
        <v>0.0150998609792569</v>
      </c>
      <c r="H94" s="27" t="n">
        <f aca="false">$B94*$H$72</f>
        <v>0.0150998609792569</v>
      </c>
    </row>
    <row r="95" customFormat="false" ht="15" hidden="false" customHeight="true" outlineLevel="0" collapsed="false">
      <c r="A95" s="5" t="n">
        <v>2029</v>
      </c>
      <c r="B95" s="27" t="n">
        <f aca="false">C37</f>
        <v>20.726176138705</v>
      </c>
      <c r="C95" s="27" t="n">
        <f aca="false">$B95*$C$72</f>
        <v>8.22778231388544</v>
      </c>
      <c r="D95" s="27" t="n">
        <f aca="false">$B95*$D$72</f>
        <v>9.6452398301814</v>
      </c>
      <c r="E95" s="27" t="n">
        <f aca="false">$B95*$E$72</f>
        <v>1.68217117908486</v>
      </c>
      <c r="F95" s="27" t="n">
        <f aca="false">$B95*$F$72</f>
        <v>1.13873301448067</v>
      </c>
      <c r="G95" s="27" t="n">
        <f aca="false">$B95*$G$72</f>
        <v>0.0161249005363103</v>
      </c>
      <c r="H95" s="27" t="n">
        <f aca="false">$B95*$H$72</f>
        <v>0.0161249005363103</v>
      </c>
    </row>
    <row r="96" customFormat="false" ht="15" hidden="false" customHeight="true" outlineLevel="0" collapsed="false">
      <c r="A96" s="5" t="n">
        <v>2030</v>
      </c>
      <c r="B96" s="27" t="n">
        <f aca="false">C38</f>
        <v>22.1331526954968</v>
      </c>
      <c r="C96" s="27" t="n">
        <f aca="false">$B96*$C$72</f>
        <v>8.7863174123306</v>
      </c>
      <c r="D96" s="27" t="n">
        <f aca="false">$B96*$D$72</f>
        <v>10.2999976704546</v>
      </c>
      <c r="E96" s="27" t="n">
        <f aca="false">$B96*$E$72</f>
        <v>1.7963637536169</v>
      </c>
      <c r="F96" s="27" t="n">
        <f aca="false">$B96*$F$72</f>
        <v>1.21603481125674</v>
      </c>
      <c r="G96" s="27" t="n">
        <f aca="false">$B96*$G$72</f>
        <v>0.0172195239190008</v>
      </c>
      <c r="H96" s="27" t="n">
        <f aca="false">$B96*$H$72</f>
        <v>0.0172195239190008</v>
      </c>
    </row>
    <row r="97" customFormat="false" ht="15" hidden="false" customHeight="true" outlineLevel="0" collapsed="false">
      <c r="A97" s="5" t="n">
        <v>2031</v>
      </c>
      <c r="B97" s="27" t="n">
        <f aca="false">C39</f>
        <v>23.6356405042492</v>
      </c>
      <c r="C97" s="27" t="n">
        <f aca="false">$B97*$C$72</f>
        <v>9.38276812938282</v>
      </c>
      <c r="D97" s="27" t="n">
        <f aca="false">$B97*$D$72</f>
        <v>10.9992031177285</v>
      </c>
      <c r="E97" s="27" t="n">
        <f aca="false">$B97*$E$72</f>
        <v>1.91830818137315</v>
      </c>
      <c r="F97" s="27" t="n">
        <f aca="false">$B97*$F$72</f>
        <v>1.29858416624779</v>
      </c>
      <c r="G97" s="27" t="n">
        <f aca="false">$B97*$G$72</f>
        <v>0.0183884547584868</v>
      </c>
      <c r="H97" s="27" t="n">
        <f aca="false">$B97*$H$72</f>
        <v>0.0183884547584868</v>
      </c>
    </row>
    <row r="98" customFormat="false" ht="15" hidden="false" customHeight="true" outlineLevel="0" collapsed="false">
      <c r="A98" s="5" t="n">
        <v>2032</v>
      </c>
      <c r="B98" s="27" t="n">
        <f aca="false">C40</f>
        <v>25.2401232545495</v>
      </c>
      <c r="C98" s="27" t="n">
        <f aca="false">$B98*$C$72</f>
        <v>10.019708330388</v>
      </c>
      <c r="D98" s="27" t="n">
        <f aca="false">$B98*$D$72</f>
        <v>11.7458734551061</v>
      </c>
      <c r="E98" s="27" t="n">
        <f aca="false">$B98*$E$72</f>
        <v>2.04853068946299</v>
      </c>
      <c r="F98" s="27" t="n">
        <f aca="false">$B98*$F$72</f>
        <v>1.38673730490224</v>
      </c>
      <c r="G98" s="27" t="n">
        <f aca="false">$B98*$G$72</f>
        <v>0.0196367373450901</v>
      </c>
      <c r="H98" s="27" t="n">
        <f aca="false">$B98*$H$72</f>
        <v>0.0196367373450901</v>
      </c>
    </row>
    <row r="99" customFormat="false" ht="15" hidden="false" customHeight="true" outlineLevel="0" collapsed="false">
      <c r="A99" s="5" t="n">
        <v>2033</v>
      </c>
      <c r="B99" s="27" t="n">
        <f aca="false">C41</f>
        <v>26.9535247750244</v>
      </c>
      <c r="C99" s="27" t="n">
        <f aca="false">$B99*$C$72</f>
        <v>10.6998866050685</v>
      </c>
      <c r="D99" s="27" t="n">
        <f aca="false">$B99*$D$72</f>
        <v>12.5432307910556</v>
      </c>
      <c r="E99" s="27" t="n">
        <f aca="false">$B99*$E$72</f>
        <v>2.18759322741762</v>
      </c>
      <c r="F99" s="27" t="n">
        <f aca="false">$B99*$F$72</f>
        <v>1.48087463469085</v>
      </c>
      <c r="G99" s="27" t="n">
        <f aca="false">$B99*$G$72</f>
        <v>0.0209697583959354</v>
      </c>
      <c r="H99" s="27" t="n">
        <f aca="false">$B99*$H$72</f>
        <v>0.0209697583959354</v>
      </c>
    </row>
    <row r="100" customFormat="false" ht="15" hidden="false" customHeight="true" outlineLevel="0" collapsed="false">
      <c r="A100" s="5" t="n">
        <v>2034</v>
      </c>
      <c r="B100" s="27" t="n">
        <f aca="false">C42</f>
        <v>28.7832389117555</v>
      </c>
      <c r="C100" s="27" t="n">
        <f aca="false">$B100*$C$72</f>
        <v>11.4262381285195</v>
      </c>
      <c r="D100" s="27" t="n">
        <f aca="false">$B100*$D$72</f>
        <v>13.3947159637831</v>
      </c>
      <c r="E100" s="27" t="n">
        <f aca="false">$B100*$E$72</f>
        <v>2.33609589217233</v>
      </c>
      <c r="F100" s="27" t="n">
        <f aca="false">$B100*$F$72</f>
        <v>1.58140238668013</v>
      </c>
      <c r="G100" s="27" t="n">
        <f aca="false">$B100*$G$72</f>
        <v>0.0223932703002646</v>
      </c>
      <c r="H100" s="27" t="n">
        <f aca="false">$B100*$H$72</f>
        <v>0.0223932703002646</v>
      </c>
    </row>
    <row r="101" customFormat="false" ht="15" hidden="false" customHeight="true" outlineLevel="0" collapsed="false">
      <c r="A101" s="5" t="n">
        <v>2035</v>
      </c>
      <c r="B101" s="27" t="n">
        <f aca="false">C43</f>
        <v>30.7371614349629</v>
      </c>
      <c r="C101" s="27" t="n">
        <f aca="false">$B101*$C$72</f>
        <v>12.201897327378</v>
      </c>
      <c r="D101" s="27" t="n">
        <f aca="false">$B101*$D$72</f>
        <v>14.3040033894908</v>
      </c>
      <c r="E101" s="27" t="n">
        <f aca="false">$B101*$E$72</f>
        <v>2.49467951766639</v>
      </c>
      <c r="F101" s="27" t="n">
        <f aca="false">$B101*$F$72</f>
        <v>1.68875436854226</v>
      </c>
      <c r="G101" s="27" t="n">
        <f aca="false">$B101*$G$72</f>
        <v>0.0239134159427373</v>
      </c>
      <c r="H101" s="27" t="n">
        <f aca="false">$B101*$H$72</f>
        <v>0.0239134159427373</v>
      </c>
    </row>
    <row r="102" customFormat="false" ht="15" hidden="false" customHeight="true" outlineLevel="0" collapsed="false">
      <c r="A102" s="5" t="n">
        <v>2036</v>
      </c>
      <c r="B102" s="27" t="n">
        <f aca="false">C44</f>
        <v>32.823724111643</v>
      </c>
      <c r="C102" s="27" t="n">
        <f aca="false">$B102*$C$72</f>
        <v>13.0302114058221</v>
      </c>
      <c r="D102" s="27" t="n">
        <f aca="false">$B102*$D$72</f>
        <v>15.2750169185953</v>
      </c>
      <c r="E102" s="27" t="n">
        <f aca="false">$B102*$E$72</f>
        <v>2.66402844023541</v>
      </c>
      <c r="F102" s="27" t="n">
        <f aca="false">$B102*$F$72</f>
        <v>1.80339383656654</v>
      </c>
      <c r="G102" s="27" t="n">
        <f aca="false">$B102*$G$72</f>
        <v>0.0255367552118374</v>
      </c>
      <c r="H102" s="27" t="n">
        <f aca="false">$B102*$H$72</f>
        <v>0.0255367552118374</v>
      </c>
    </row>
    <row r="103" customFormat="false" ht="15" hidden="false" customHeight="true" outlineLevel="0" collapsed="false">
      <c r="A103" s="5" t="n">
        <v>2037</v>
      </c>
      <c r="B103" s="27" t="n">
        <f aca="false">C45</f>
        <v>35.0519310911949</v>
      </c>
      <c r="C103" s="27" t="n">
        <f aca="false">$B103*$C$72</f>
        <v>13.9147547897701</v>
      </c>
      <c r="D103" s="27" t="n">
        <f aca="false">$B103*$D$72</f>
        <v>16.311946768329</v>
      </c>
      <c r="E103" s="27" t="n">
        <f aca="false">$B103*$E$72</f>
        <v>2.84487345172975</v>
      </c>
      <c r="F103" s="27" t="n">
        <f aca="false">$B103*$F$72</f>
        <v>1.92581549475045</v>
      </c>
      <c r="G103" s="27" t="n">
        <f aca="false">$B103*$G$72</f>
        <v>0.0272702933077764</v>
      </c>
      <c r="H103" s="27" t="n">
        <f aca="false">$B103*$H$72</f>
        <v>0.0272702933077764</v>
      </c>
    </row>
    <row r="104" customFormat="false" ht="15" hidden="false" customHeight="true" outlineLevel="0" collapsed="false">
      <c r="A104" s="5" t="n">
        <v>2038</v>
      </c>
      <c r="B104" s="27" t="n">
        <f aca="false">C46</f>
        <v>37.43139776105</v>
      </c>
      <c r="C104" s="27" t="n">
        <f aca="false">$B104*$C$72</f>
        <v>14.8593445516101</v>
      </c>
      <c r="D104" s="27" t="n">
        <f aca="false">$B104*$D$72</f>
        <v>17.4192676047961</v>
      </c>
      <c r="E104" s="27" t="n">
        <f aca="false">$B104*$E$72</f>
        <v>3.03799495310252</v>
      </c>
      <c r="F104" s="27" t="n">
        <f aca="false">$B104*$F$72</f>
        <v>2.05654762959709</v>
      </c>
      <c r="G104" s="27" t="n">
        <f aca="false">$B104*$G$72</f>
        <v>0.029121510972053</v>
      </c>
      <c r="H104" s="27" t="n">
        <f aca="false">$B104*$H$72</f>
        <v>0.029121510972053</v>
      </c>
    </row>
    <row r="105" customFormat="false" ht="15" hidden="false" customHeight="true" outlineLevel="0" collapsed="false">
      <c r="A105" s="5" t="n">
        <v>2039</v>
      </c>
      <c r="B105" s="27" t="n">
        <f aca="false">C47</f>
        <v>39.9723922399784</v>
      </c>
      <c r="C105" s="27" t="n">
        <f aca="false">$B105*$C$72</f>
        <v>15.8680568820224</v>
      </c>
      <c r="D105" s="27" t="n">
        <f aca="false">$B105*$D$72</f>
        <v>18.6017578525106</v>
      </c>
      <c r="E105" s="27" t="n">
        <f aca="false">$B105*$E$72</f>
        <v>3.24422632207584</v>
      </c>
      <c r="F105" s="27" t="n">
        <f aca="false">$B105*$F$72</f>
        <v>2.19615438983134</v>
      </c>
      <c r="G105" s="27" t="n">
        <f aca="false">$B105*$G$72</f>
        <v>0.0310983967691161</v>
      </c>
      <c r="H105" s="27" t="n">
        <f aca="false">$B105*$H$72</f>
        <v>0.0310983967691161</v>
      </c>
    </row>
    <row r="106" customFormat="false" ht="15" hidden="false" customHeight="true" outlineLevel="0" collapsed="false">
      <c r="A106" s="5" t="n">
        <v>2040</v>
      </c>
      <c r="B106" s="27" t="n">
        <f aca="false">C48</f>
        <v>42.6858796881292</v>
      </c>
      <c r="C106" s="27" t="n">
        <f aca="false">$B106*$C$72</f>
        <v>16.9452446799758</v>
      </c>
      <c r="D106" s="27" t="n">
        <f aca="false">$B106*$D$72</f>
        <v>19.8645203147444</v>
      </c>
      <c r="E106" s="27" t="n">
        <f aca="false">$B106*$E$72</f>
        <v>3.4644575094179</v>
      </c>
      <c r="F106" s="27" t="n">
        <f aca="false">$B106*$F$72</f>
        <v>2.34523822087231</v>
      </c>
      <c r="G106" s="27" t="n">
        <f aca="false">$B106*$G$72</f>
        <v>0.0332094815594383</v>
      </c>
      <c r="H106" s="27" t="n">
        <f aca="false">$B106*$H$72</f>
        <v>0.0332094815594383</v>
      </c>
    </row>
    <row r="107" customFormat="false" ht="15" hidden="false" customHeight="true" outlineLevel="0" collapsed="false">
      <c r="A107" s="5" t="n">
        <v>2041</v>
      </c>
      <c r="B107" s="27" t="n">
        <f aca="false">C49</f>
        <v>45.5835696250143</v>
      </c>
      <c r="C107" s="27" t="n">
        <f aca="false">$B107*$C$72</f>
        <v>18.095556336804</v>
      </c>
      <c r="D107" s="27" t="n">
        <f aca="false">$B107*$D$72</f>
        <v>21.2130041936673</v>
      </c>
      <c r="E107" s="27" t="n">
        <f aca="false">$B107*$E$72</f>
        <v>3.6996388793499</v>
      </c>
      <c r="F107" s="27" t="n">
        <f aca="false">$B107*$F$72</f>
        <v>2.50444246456768</v>
      </c>
      <c r="G107" s="27" t="n">
        <f aca="false">$B107*$G$72</f>
        <v>0.0354638753127599</v>
      </c>
      <c r="H107" s="27" t="n">
        <f aca="false">$B107*$H$72</f>
        <v>0.0354638753127599</v>
      </c>
    </row>
    <row r="108" customFormat="false" ht="15" hidden="false" customHeight="true" outlineLevel="0" collapsed="false">
      <c r="A108" s="5" t="n">
        <v>2042</v>
      </c>
      <c r="B108" s="27" t="n">
        <f aca="false">C50</f>
        <v>48.6779664596294</v>
      </c>
      <c r="C108" s="27" t="n">
        <f aca="false">$B108*$C$72</f>
        <v>19.3239557954212</v>
      </c>
      <c r="D108" s="27" t="n">
        <f aca="false">$B108*$D$72</f>
        <v>22.653028605304</v>
      </c>
      <c r="E108" s="27" t="n">
        <f aca="false">$B108*$E$72</f>
        <v>3.9507853106552</v>
      </c>
      <c r="F108" s="27" t="n">
        <f aca="false">$B108*$F$72</f>
        <v>2.67445413540842</v>
      </c>
      <c r="G108" s="27" t="n">
        <f aca="false">$B108*$G$72</f>
        <v>0.037871306420366</v>
      </c>
      <c r="H108" s="27" t="n">
        <f aca="false">$B108*$H$72</f>
        <v>0.037871306420366</v>
      </c>
    </row>
    <row r="109" customFormat="false" ht="15" hidden="false" customHeight="true" outlineLevel="0" collapsed="false">
      <c r="A109" s="5" t="n">
        <v>2043</v>
      </c>
      <c r="B109" s="27" t="n">
        <f aca="false">C51</f>
        <v>51.9824234507625</v>
      </c>
      <c r="C109" s="27" t="n">
        <f aca="false">$B109*$C$72</f>
        <v>20.6357439712375</v>
      </c>
      <c r="D109" s="27" t="n">
        <f aca="false">$B109*$D$72</f>
        <v>24.1908076907802</v>
      </c>
      <c r="E109" s="27" t="n">
        <f aca="false">$B109*$E$72</f>
        <v>4.21898057618848</v>
      </c>
      <c r="F109" s="27" t="n">
        <f aca="false">$B109*$F$72</f>
        <v>2.85600688520425</v>
      </c>
      <c r="G109" s="27" t="n">
        <f aca="false">$B109*$G$72</f>
        <v>0.0404421636760385</v>
      </c>
      <c r="H109" s="27" t="n">
        <f aca="false">$B109*$H$72</f>
        <v>0.0404421636760385</v>
      </c>
    </row>
    <row r="110" customFormat="false" ht="15" hidden="false" customHeight="true" outlineLevel="0" collapsed="false">
      <c r="A110" s="5" t="n">
        <v>2044</v>
      </c>
      <c r="B110" s="27" t="n">
        <f aca="false">C52</f>
        <v>55.5112003303466</v>
      </c>
      <c r="C110" s="27" t="n">
        <f aca="false">$B110*$C$72</f>
        <v>22.0365816272135</v>
      </c>
      <c r="D110" s="27" t="n">
        <f aca="false">$B110*$D$72</f>
        <v>25.8329774322227</v>
      </c>
      <c r="E110" s="27" t="n">
        <f aca="false">$B110*$E$72</f>
        <v>4.50538201968351</v>
      </c>
      <c r="F110" s="27" t="n">
        <f aca="false">$B110*$F$72</f>
        <v>3.04988416901323</v>
      </c>
      <c r="G110" s="27" t="n">
        <f aca="false">$B110*$G$72</f>
        <v>0.0431875411068452</v>
      </c>
      <c r="H110" s="27" t="n">
        <f aca="false">$B110*$H$72</f>
        <v>0.0431875411068452</v>
      </c>
    </row>
    <row r="111" customFormat="false" ht="15" hidden="false" customHeight="true" outlineLevel="0" collapsed="false">
      <c r="A111" s="5" t="n">
        <v>2045</v>
      </c>
      <c r="B111" s="27" t="n">
        <f aca="false">C53</f>
        <v>59.2795248385186</v>
      </c>
      <c r="C111" s="27" t="n">
        <f aca="false">$B111*$C$72</f>
        <v>23.5325138017654</v>
      </c>
      <c r="D111" s="27" t="n">
        <f aca="false">$B111*$D$72</f>
        <v>27.5866242890298</v>
      </c>
      <c r="E111" s="27" t="n">
        <f aca="false">$B111*$E$72</f>
        <v>4.81122555004165</v>
      </c>
      <c r="F111" s="27" t="n">
        <f aca="false">$B111*$F$72</f>
        <v>3.25692262598739</v>
      </c>
      <c r="G111" s="27" t="n">
        <f aca="false">$B111*$G$72</f>
        <v>0.0461192858472241</v>
      </c>
      <c r="H111" s="27" t="n">
        <f aca="false">$B111*$H$72</f>
        <v>0.0461192858472241</v>
      </c>
    </row>
    <row r="112" customFormat="false" ht="15" hidden="false" customHeight="true" outlineLevel="0" collapsed="false">
      <c r="A112" s="5" t="n">
        <v>2046</v>
      </c>
      <c r="B112" s="27" t="n">
        <f aca="false">C54</f>
        <v>63.3036584359265</v>
      </c>
      <c r="C112" s="27" t="n">
        <f aca="false">$B112*$C$72</f>
        <v>25.1299958949352</v>
      </c>
      <c r="D112" s="27" t="n">
        <f aca="false">$B112*$D$72</f>
        <v>29.4593157780887</v>
      </c>
      <c r="E112" s="27" t="n">
        <f aca="false">$B112*$E$72</f>
        <v>5.13783097465277</v>
      </c>
      <c r="F112" s="27" t="n">
        <f aca="false">$B112*$F$72</f>
        <v>3.47801568972392</v>
      </c>
      <c r="G112" s="27" t="n">
        <f aca="false">$B112*$G$72</f>
        <v>0.0492500492629537</v>
      </c>
      <c r="H112" s="27" t="n">
        <f aca="false">$B112*$H$72</f>
        <v>0.0492500492629537</v>
      </c>
    </row>
    <row r="113" customFormat="false" ht="15" hidden="false" customHeight="true" outlineLevel="0" collapsed="false">
      <c r="A113" s="5" t="n">
        <v>2047</v>
      </c>
      <c r="B113" s="27" t="n">
        <f aca="false">C55</f>
        <v>67.6009664768525</v>
      </c>
      <c r="C113" s="27" t="n">
        <f aca="false">$B113*$C$72</f>
        <v>26.8359215253954</v>
      </c>
      <c r="D113" s="27" t="n">
        <f aca="false">$B113*$D$72</f>
        <v>31.4591331299009</v>
      </c>
      <c r="E113" s="27" t="n">
        <f aca="false">$B113*$E$72</f>
        <v>5.48660769476353</v>
      </c>
      <c r="F113" s="27" t="n">
        <f aca="false">$B113*$F$72</f>
        <v>3.71411744370146</v>
      </c>
      <c r="G113" s="27" t="n">
        <f aca="false">$B113*$G$72</f>
        <v>0.0525933415456251</v>
      </c>
      <c r="H113" s="27" t="n">
        <f aca="false">$B113*$H$72</f>
        <v>0.0525933415456251</v>
      </c>
    </row>
    <row r="114" customFormat="false" ht="15" hidden="false" customHeight="true" outlineLevel="0" collapsed="false">
      <c r="A114" s="5" t="n">
        <v>2048</v>
      </c>
      <c r="B114" s="27" t="n">
        <f aca="false">C56</f>
        <v>72.1899931459729</v>
      </c>
      <c r="C114" s="27" t="n">
        <f aca="false">$B114*$C$72</f>
        <v>28.6576522784998</v>
      </c>
      <c r="D114" s="27" t="n">
        <f aca="false">$B114*$D$72</f>
        <v>33.5947061615373</v>
      </c>
      <c r="E114" s="27" t="n">
        <f aca="false">$B114*$E$72</f>
        <v>5.8590607874703</v>
      </c>
      <c r="F114" s="27" t="n">
        <f aca="false">$B114*$F$72</f>
        <v>3.96624673843909</v>
      </c>
      <c r="G114" s="27" t="n">
        <f aca="false">$B114*$G$72</f>
        <v>0.0561635900132068</v>
      </c>
      <c r="H114" s="27" t="n">
        <f aca="false">$B114*$H$72</f>
        <v>0.0561635900132068</v>
      </c>
    </row>
    <row r="115" customFormat="false" ht="15" hidden="false" customHeight="true" outlineLevel="0" collapsed="false">
      <c r="A115" s="5" t="n">
        <v>2049</v>
      </c>
      <c r="B115" s="27" t="n">
        <f aca="false">C57</f>
        <v>77.090541482126</v>
      </c>
      <c r="C115" s="27" t="n">
        <f aca="false">$B115*$C$72</f>
        <v>30.6030494737521</v>
      </c>
      <c r="D115" s="27" t="n">
        <f aca="false">$B115*$D$72</f>
        <v>35.8752505169105</v>
      </c>
      <c r="E115" s="27" t="n">
        <f aca="false">$B115*$E$72</f>
        <v>6.25679750058231</v>
      </c>
      <c r="F115" s="27" t="n">
        <f aca="false">$B115*$F$72</f>
        <v>4.23549158814462</v>
      </c>
      <c r="G115" s="27" t="n">
        <f aca="false">$B115*$G$72</f>
        <v>0.0599762013682886</v>
      </c>
      <c r="H115" s="27" t="n">
        <f aca="false">$B115*$H$72</f>
        <v>0.0599762013682886</v>
      </c>
    </row>
    <row r="116" customFormat="false" ht="15" hidden="false" customHeight="true" outlineLevel="0" collapsed="false">
      <c r="A116" s="5" t="n">
        <v>2050</v>
      </c>
      <c r="B116" s="27" t="n">
        <f aca="false">C58</f>
        <v>82.3237588344184</v>
      </c>
      <c r="C116" s="27" t="n">
        <f aca="false">$B116*$C$72</f>
        <v>32.6805080887786</v>
      </c>
      <c r="D116" s="27" t="n">
        <f aca="false">$B116*$D$72</f>
        <v>38.3106074350671</v>
      </c>
      <c r="E116" s="27" t="n">
        <f aca="false">$B116*$E$72</f>
        <v>6.68153418838232</v>
      </c>
      <c r="F116" s="27" t="n">
        <f aca="false">$B116*$F$72</f>
        <v>4.52301386582516</v>
      </c>
      <c r="G116" s="27" t="n">
        <f aca="false">$B116*$G$72</f>
        <v>0.0640476281826648</v>
      </c>
      <c r="H116" s="27" t="n">
        <f aca="false">$B116*$H$72</f>
        <v>0.0640476281826648</v>
      </c>
    </row>
    <row r="117" customFormat="false" ht="15" hidden="false" customHeight="true" outlineLevel="0" collapsed="false">
      <c r="A117" s="5" t="n">
        <v>2051</v>
      </c>
      <c r="B117" s="27" t="n">
        <f aca="false">C59</f>
        <v>87.9122281194358</v>
      </c>
      <c r="C117" s="27" t="n">
        <f aca="false">$B117*$C$72</f>
        <v>34.8989929861974</v>
      </c>
      <c r="D117" s="27" t="n">
        <f aca="false">$B117*$D$72</f>
        <v>40.9112862181126</v>
      </c>
      <c r="E117" s="27" t="n">
        <f aca="false">$B117*$E$72</f>
        <v>7.13510371821478</v>
      </c>
      <c r="F117" s="27" t="n">
        <f aca="false">$B117*$F$72</f>
        <v>4.83005431712078</v>
      </c>
      <c r="G117" s="27" t="n">
        <f aca="false">$B117*$G$72</f>
        <v>0.0683954398951615</v>
      </c>
      <c r="H117" s="27" t="n">
        <f aca="false">$B117*$H$72</f>
        <v>0.0683954398951615</v>
      </c>
    </row>
    <row r="118" customFormat="false" ht="15" hidden="false" customHeight="true" outlineLevel="0" collapsed="false">
      <c r="A118" s="5" t="n">
        <v>2052</v>
      </c>
      <c r="B118" s="27" t="n">
        <f aca="false">C60</f>
        <v>93.880065273362</v>
      </c>
      <c r="C118" s="27" t="n">
        <f aca="false">$B118*$C$72</f>
        <v>37.2680775997131</v>
      </c>
      <c r="D118" s="27" t="n">
        <f aca="false">$B118*$D$72</f>
        <v>43.6885095820303</v>
      </c>
      <c r="E118" s="27" t="n">
        <f aca="false">$B118*$E$72</f>
        <v>7.61946337986309</v>
      </c>
      <c r="F118" s="27" t="n">
        <f aca="false">$B118*$F$72</f>
        <v>5.1579379144974</v>
      </c>
      <c r="G118" s="27" t="n">
        <f aca="false">$B118*$G$72</f>
        <v>0.0730383986290811</v>
      </c>
      <c r="H118" s="27" t="n">
        <f aca="false">$B118*$H$72</f>
        <v>0.0730383986290811</v>
      </c>
    </row>
    <row r="119" customFormat="false" ht="15" hidden="false" customHeight="true" outlineLevel="0" collapsed="false">
      <c r="A119" s="5" t="n">
        <v>2053</v>
      </c>
      <c r="B119" s="27" t="n">
        <f aca="false">C61</f>
        <v>100.253023319542</v>
      </c>
      <c r="C119" s="27" t="n">
        <f aca="false">$B119*$C$72</f>
        <v>39.797985246381</v>
      </c>
      <c r="D119" s="27" t="n">
        <f aca="false">$B119*$D$72</f>
        <v>46.6542620860971</v>
      </c>
      <c r="E119" s="27" t="n">
        <f aca="false">$B119*$E$72</f>
        <v>8.13670333184736</v>
      </c>
      <c r="F119" s="27" t="n">
        <f aca="false">$B119*$F$72</f>
        <v>5.50807957490399</v>
      </c>
      <c r="G119" s="27" t="n">
        <f aca="false">$B119*$G$72</f>
        <v>0.0779965401564432</v>
      </c>
      <c r="H119" s="27" t="n">
        <f aca="false">$B119*$H$72</f>
        <v>0.0779965401564432</v>
      </c>
    </row>
    <row r="120" customFormat="false" ht="15" hidden="false" customHeight="true" outlineLevel="0" collapsed="false">
      <c r="A120" s="5" t="n">
        <v>2054</v>
      </c>
      <c r="B120" s="27" t="n">
        <f aca="false">C62</f>
        <v>107.058603500572</v>
      </c>
      <c r="C120" s="27" t="n">
        <f aca="false">$B120*$C$72</f>
        <v>42.4996332433136</v>
      </c>
      <c r="D120" s="27" t="n">
        <f aca="false">$B120*$D$72</f>
        <v>49.8213418498833</v>
      </c>
      <c r="E120" s="27" t="n">
        <f aca="false">$B120*$E$72</f>
        <v>8.68905562109094</v>
      </c>
      <c r="F120" s="27" t="n">
        <f aca="false">$B120*$F$72</f>
        <v>5.88199026556737</v>
      </c>
      <c r="G120" s="27" t="n">
        <f aca="false">$B120*$G$72</f>
        <v>0.0832912603584036</v>
      </c>
      <c r="H120" s="27" t="n">
        <f aca="false">$B120*$H$72</f>
        <v>0.0832912603584036</v>
      </c>
    </row>
    <row r="121" customFormat="false" ht="15" hidden="false" customHeight="true" outlineLevel="0" collapsed="false">
      <c r="A121" s="5" t="n">
        <v>2055</v>
      </c>
      <c r="B121" s="27" t="n">
        <f aca="false">C63</f>
        <v>114.326173954482</v>
      </c>
      <c r="C121" s="27" t="n">
        <f aca="false">$B121*$C$72</f>
        <v>45.3846800192082</v>
      </c>
      <c r="D121" s="27" t="n">
        <f aca="false">$B121*$D$72</f>
        <v>53.2034157810121</v>
      </c>
      <c r="E121" s="27" t="n">
        <f aca="false">$B121*$E$72</f>
        <v>9.27890381487837</v>
      </c>
      <c r="F121" s="27" t="n">
        <f aca="false">$B121*$F$72</f>
        <v>6.28128352427303</v>
      </c>
      <c r="G121" s="27" t="n">
        <f aca="false">$B121*$G$72</f>
        <v>0.0889454075549564</v>
      </c>
      <c r="H121" s="27" t="n">
        <f aca="false">$B121*$H$72</f>
        <v>0.0889454075549564</v>
      </c>
    </row>
    <row r="122" customFormat="false" ht="15" hidden="false" customHeight="true" outlineLevel="0" collapsed="false">
      <c r="A122" s="5" t="n">
        <v>2056</v>
      </c>
      <c r="B122" s="27" t="n">
        <f aca="false">C64</f>
        <v>122.087096447139</v>
      </c>
      <c r="C122" s="27" t="n">
        <f aca="false">$B122*$C$72</f>
        <v>48.4655754239944</v>
      </c>
      <c r="D122" s="27" t="n">
        <f aca="false">$B122*$D$72</f>
        <v>56.8150785520017</v>
      </c>
      <c r="E122" s="27" t="n">
        <f aca="false">$B122*$E$72</f>
        <v>9.90879328666957</v>
      </c>
      <c r="F122" s="27" t="n">
        <f aca="false">$B122*$F$72</f>
        <v>6.70768242226904</v>
      </c>
      <c r="G122" s="27" t="n">
        <f aca="false">$B122*$G$72</f>
        <v>0.0949833811023499</v>
      </c>
      <c r="H122" s="27" t="n">
        <f aca="false">$B122*$H$72</f>
        <v>0.0949833811023499</v>
      </c>
    </row>
    <row r="123" customFormat="false" ht="15" hidden="false" customHeight="true" outlineLevel="0" collapsed="false">
      <c r="A123" s="5" t="n">
        <v>2057</v>
      </c>
      <c r="B123" s="27" t="n">
        <f aca="false">C65</f>
        <v>130.374861707762</v>
      </c>
      <c r="C123" s="27" t="n">
        <f aca="false">$B123*$C$72</f>
        <v>51.7556144537045</v>
      </c>
      <c r="D123" s="27" t="n">
        <f aca="false">$B123*$D$72</f>
        <v>60.6719155806938</v>
      </c>
      <c r="E123" s="27" t="n">
        <f aca="false">$B123*$E$72</f>
        <v>10.5814422001566</v>
      </c>
      <c r="F123" s="27" t="n">
        <f aca="false">$B123*$F$72</f>
        <v>7.16302699983987</v>
      </c>
      <c r="G123" s="27" t="n">
        <f aca="false">$B123*$G$72</f>
        <v>0.101431236683692</v>
      </c>
      <c r="H123" s="27" t="n">
        <f aca="false">$B123*$H$72</f>
        <v>0.101431236683692</v>
      </c>
    </row>
    <row r="124" customFormat="false" ht="15" hidden="false" customHeight="true" outlineLevel="0" collapsed="false">
      <c r="A124" s="5" t="n">
        <v>2058</v>
      </c>
      <c r="B124" s="27" t="n">
        <f aca="false">C66</f>
        <v>139.225233951547</v>
      </c>
      <c r="C124" s="27" t="n">
        <f aca="false">$B124*$C$72</f>
        <v>55.268994622405</v>
      </c>
      <c r="D124" s="27" t="n">
        <f aca="false">$B124*$D$72</f>
        <v>64.7905702860486</v>
      </c>
      <c r="E124" s="27" t="n">
        <f aca="false">$B124*$E$72</f>
        <v>11.2997532389625</v>
      </c>
      <c r="F124" s="27" t="n">
        <f aca="false">$B124*$F$72</f>
        <v>7.6492822066371</v>
      </c>
      <c r="G124" s="27" t="n">
        <f aca="false">$B124*$G$72</f>
        <v>0.108316798747109</v>
      </c>
      <c r="H124" s="27" t="n">
        <f aca="false">$B124*$H$72</f>
        <v>0.108316798747109</v>
      </c>
    </row>
    <row r="125" customFormat="false" ht="15" hidden="false" customHeight="true" outlineLevel="0" collapsed="false">
      <c r="A125" s="5" t="n">
        <v>2059</v>
      </c>
      <c r="B125" s="27" t="n">
        <f aca="false">C67</f>
        <v>148.676405213085</v>
      </c>
      <c r="C125" s="27" t="n">
        <f aca="false">$B125*$C$72</f>
        <v>59.0208772287658</v>
      </c>
      <c r="D125" s="27" t="n">
        <f aca="false">$B125*$D$72</f>
        <v>69.1888159095339</v>
      </c>
      <c r="E125" s="27" t="n">
        <f aca="false">$B125*$E$72</f>
        <v>12.0668261325998</v>
      </c>
      <c r="F125" s="27" t="n">
        <f aca="false">$B125*$F$72</f>
        <v>8.16854638103178</v>
      </c>
      <c r="G125" s="27" t="n">
        <f aca="false">$B125*$G$72</f>
        <v>0.115669780576658</v>
      </c>
      <c r="H125" s="27" t="n">
        <f aca="false">$B125*$H$72</f>
        <v>0.115669780576658</v>
      </c>
    </row>
    <row r="126" customFormat="false" ht="15" hidden="false" customHeight="true" outlineLevel="0" collapsed="false">
      <c r="A126" s="5" t="n">
        <v>2060</v>
      </c>
      <c r="B126" s="27" t="n">
        <f aca="false">C68</f>
        <v>158.769160156543</v>
      </c>
      <c r="C126" s="27" t="n">
        <f aca="false">$B126*$C$72</f>
        <v>63.0274527816527</v>
      </c>
      <c r="D126" s="27" t="n">
        <f aca="false">$B126*$D$72</f>
        <v>73.8856322120409</v>
      </c>
      <c r="E126" s="27" t="n">
        <f aca="false">$B126*$E$72</f>
        <v>12.8859710327412</v>
      </c>
      <c r="F126" s="27" t="n">
        <f aca="false">$B126*$F$72</f>
        <v>8.72306030507955</v>
      </c>
      <c r="G126" s="27" t="n">
        <f aca="false">$B126*$G$72</f>
        <v>0.12352191251414</v>
      </c>
      <c r="H126" s="27" t="n">
        <f aca="false">$B126*$H$72</f>
        <v>0.12352191251414</v>
      </c>
    </row>
    <row r="129" customFormat="false" ht="15" hidden="false" customHeight="true" outlineLevel="0" collapsed="false">
      <c r="A129" s="45" t="s">
        <v>185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customFormat="false" ht="15" hidden="false" customHeight="true" outlineLevel="0" collapsed="false">
      <c r="A130" s="46" t="s">
        <v>118</v>
      </c>
      <c r="B130" s="46" t="s">
        <v>184</v>
      </c>
      <c r="C130" s="46" t="s">
        <v>8</v>
      </c>
      <c r="D130" s="46" t="s">
        <v>11</v>
      </c>
      <c r="E130" s="46" t="s">
        <v>14</v>
      </c>
      <c r="F130" s="46" t="s">
        <v>16</v>
      </c>
      <c r="G130" s="46" t="s">
        <v>18</v>
      </c>
      <c r="H130" s="46" t="s">
        <v>20</v>
      </c>
    </row>
    <row r="131" customFormat="false" ht="15" hidden="false" customHeight="true" outlineLevel="0" collapsed="false">
      <c r="A131" s="5" t="n">
        <v>2010</v>
      </c>
      <c r="B131" s="27" t="n">
        <f aca="false">D18</f>
        <v>8.671474</v>
      </c>
      <c r="C131" s="27" t="n">
        <f aca="false">$B131*$C$72</f>
        <v>3.44236196465015</v>
      </c>
      <c r="D131" s="27" t="n">
        <f aca="false">$B131*$D$72</f>
        <v>4.0354016993512</v>
      </c>
      <c r="E131" s="27" t="n">
        <f aca="false">$B131*$E$72</f>
        <v>0.70379135762257</v>
      </c>
      <c r="F131" s="27" t="n">
        <f aca="false">$B131*$F$72</f>
        <v>0.476426218803125</v>
      </c>
      <c r="G131" s="27" t="n">
        <f aca="false">$B131*$G$72</f>
        <v>0.00674637978648085</v>
      </c>
      <c r="H131" s="27" t="n">
        <f aca="false">$B131*$H$72</f>
        <v>0.00674637978648085</v>
      </c>
    </row>
    <row r="132" customFormat="false" ht="15" hidden="false" customHeight="true" outlineLevel="0" collapsed="false">
      <c r="A132" s="5" t="n">
        <v>2011</v>
      </c>
      <c r="B132" s="27" t="n">
        <f aca="false">D19</f>
        <v>9.02366360779177</v>
      </c>
      <c r="C132" s="27" t="n">
        <f aca="false">$B132*$C$72</f>
        <v>3.58217257934004</v>
      </c>
      <c r="D132" s="27" t="n">
        <f aca="false">$B132*$D$72</f>
        <v>4.19929846497337</v>
      </c>
      <c r="E132" s="27" t="n">
        <f aca="false">$B132*$E$72</f>
        <v>0.732375656232971</v>
      </c>
      <c r="F132" s="27" t="n">
        <f aca="false">$B132*$F$72</f>
        <v>0.495776142834724</v>
      </c>
      <c r="G132" s="27" t="n">
        <f aca="false">$B132*$G$72</f>
        <v>0.00702038220533317</v>
      </c>
      <c r="H132" s="27" t="n">
        <f aca="false">$B132*$H$72</f>
        <v>0.00702038220533317</v>
      </c>
    </row>
    <row r="133" customFormat="false" ht="15" hidden="false" customHeight="true" outlineLevel="0" collapsed="false">
      <c r="A133" s="5" t="n">
        <v>2012</v>
      </c>
      <c r="B133" s="27" t="n">
        <f aca="false">D20</f>
        <v>9.39015730273602</v>
      </c>
      <c r="C133" s="27" t="n">
        <f aca="false">$B133*$C$72</f>
        <v>3.72766156492198</v>
      </c>
      <c r="D133" s="27" t="n">
        <f aca="false">$B133*$D$72</f>
        <v>4.36985185409494</v>
      </c>
      <c r="E133" s="27" t="n">
        <f aca="false">$B133*$E$72</f>
        <v>0.762120898521067</v>
      </c>
      <c r="F133" s="27" t="n">
        <f aca="false">$B133*$F$72</f>
        <v>0.515911958879087</v>
      </c>
      <c r="G133" s="27" t="n">
        <f aca="false">$B133*$G$72</f>
        <v>0.00730551315947599</v>
      </c>
      <c r="H133" s="27" t="n">
        <f aca="false">$B133*$H$72</f>
        <v>0.00730551315947599</v>
      </c>
    </row>
    <row r="134" customFormat="false" ht="15" hidden="false" customHeight="true" outlineLevel="0" collapsed="false">
      <c r="A134" s="5" t="n">
        <v>2013</v>
      </c>
      <c r="B134" s="27" t="n">
        <f aca="false">D21</f>
        <v>9.7715360415241</v>
      </c>
      <c r="C134" s="27" t="n">
        <f aca="false">$B134*$C$72</f>
        <v>3.87905954691793</v>
      </c>
      <c r="D134" s="27" t="n">
        <f aca="false">$B134*$D$72</f>
        <v>4.54733222370705</v>
      </c>
      <c r="E134" s="27" t="n">
        <f aca="false">$B134*$E$72</f>
        <v>0.793074235905235</v>
      </c>
      <c r="F134" s="27" t="n">
        <f aca="false">$B134*$F$72</f>
        <v>0.536865585731075</v>
      </c>
      <c r="G134" s="27" t="n">
        <f aca="false">$B134*$G$72</f>
        <v>0.00760222463140722</v>
      </c>
      <c r="H134" s="27" t="n">
        <f aca="false">$B134*$H$72</f>
        <v>0.00760222463140722</v>
      </c>
    </row>
    <row r="135" customFormat="false" ht="15" hidden="false" customHeight="true" outlineLevel="0" collapsed="false">
      <c r="A135" s="5" t="n">
        <v>2014</v>
      </c>
      <c r="B135" s="27" t="n">
        <f aca="false">D22</f>
        <v>10.1684072099971</v>
      </c>
      <c r="C135" s="27" t="n">
        <f aca="false">$B135*$C$72</f>
        <v>4.03660764257245</v>
      </c>
      <c r="D135" s="27" t="n">
        <f aca="false">$B135*$D$72</f>
        <v>4.73202223000579</v>
      </c>
      <c r="E135" s="27" t="n">
        <f aca="false">$B135*$E$72</f>
        <v>0.825284964837924</v>
      </c>
      <c r="F135" s="27" t="n">
        <f aca="false">$B135*$F$72</f>
        <v>0.558670394250083</v>
      </c>
      <c r="G135" s="27" t="n">
        <f aca="false">$B135*$G$72</f>
        <v>0.00791098916542107</v>
      </c>
      <c r="H135" s="27" t="n">
        <f aca="false">$B135*$H$72</f>
        <v>0.00791098916542107</v>
      </c>
    </row>
    <row r="136" customFormat="false" ht="15" hidden="false" customHeight="true" outlineLevel="0" collapsed="false">
      <c r="A136" s="5" t="n">
        <v>2015</v>
      </c>
      <c r="B136" s="27" t="n">
        <f aca="false">D23</f>
        <v>10.5813943615651</v>
      </c>
      <c r="C136" s="27" t="n">
        <f aca="false">$B136*$C$72</f>
        <v>4.20055338725747</v>
      </c>
      <c r="D136" s="27" t="n">
        <f aca="false">$B136*$D$72</f>
        <v>4.92421205301024</v>
      </c>
      <c r="E136" s="27" t="n">
        <f aca="false">$B136*$E$72</f>
        <v>0.858803693958569</v>
      </c>
      <c r="F136" s="27" t="n">
        <f aca="false">$B136*$F$72</f>
        <v>0.581360643570534</v>
      </c>
      <c r="G136" s="27" t="n">
        <f aca="false">$B136*$G$72</f>
        <v>0.00823229188413009</v>
      </c>
      <c r="H136" s="27" t="n">
        <f aca="false">$B136*$H$72</f>
        <v>0.00823229188413009</v>
      </c>
    </row>
    <row r="137" customFormat="false" ht="15" hidden="false" customHeight="true" outlineLevel="0" collapsed="false">
      <c r="A137" s="5" t="n">
        <v>2016</v>
      </c>
      <c r="B137" s="27" t="n">
        <f aca="false">D24</f>
        <v>11.0111548763391</v>
      </c>
      <c r="C137" s="27" t="n">
        <f aca="false">$B137*$C$72</f>
        <v>4.37115774471349</v>
      </c>
      <c r="D137" s="27" t="n">
        <f aca="false">$B137*$D$72</f>
        <v>5.12420761450684</v>
      </c>
      <c r="E137" s="27" t="n">
        <f aca="false">$B137*$E$72</f>
        <v>0.893683777338325</v>
      </c>
      <c r="F137" s="27" t="n">
        <f aca="false">$B137*$F$72</f>
        <v>0.604972451326018</v>
      </c>
      <c r="G137" s="27" t="n">
        <f aca="false">$B137*$G$72</f>
        <v>0.00856664422721491</v>
      </c>
      <c r="H137" s="27" t="n">
        <f aca="false">$B137*$H$72</f>
        <v>0.00856664422721491</v>
      </c>
    </row>
    <row r="138" customFormat="false" ht="15" hidden="false" customHeight="true" outlineLevel="0" collapsed="false">
      <c r="A138" s="5" t="n">
        <v>2017</v>
      </c>
      <c r="B138" s="27" t="n">
        <f aca="false">D25</f>
        <v>11.45837</v>
      </c>
      <c r="C138" s="27" t="n">
        <f aca="false">$B138*$C$72</f>
        <v>4.54869115272539</v>
      </c>
      <c r="D138" s="27" t="n">
        <f aca="false">$B138*$D$72</f>
        <v>5.33232594248623</v>
      </c>
      <c r="E138" s="27" t="n">
        <f aca="false">$B138*$E$72</f>
        <v>0.929980506017976</v>
      </c>
      <c r="F138" s="27" t="n">
        <f aca="false">$B138*$F$72</f>
        <v>0.629543246367015</v>
      </c>
      <c r="G138" s="27" t="n">
        <f aca="false">$B138*$G$72</f>
        <v>0.00891457620169519</v>
      </c>
      <c r="H138" s="27" t="n">
        <f aca="false">$B138*$H$72</f>
        <v>0.00891457620169519</v>
      </c>
    </row>
    <row r="139" customFormat="false" ht="15" hidden="false" customHeight="true" outlineLevel="0" collapsed="false">
      <c r="A139" s="5" t="n">
        <v>2018</v>
      </c>
      <c r="B139" s="27" t="n">
        <f aca="false">D26</f>
        <v>11.826033</v>
      </c>
      <c r="C139" s="27" t="n">
        <f aca="false">$B139*$C$72</f>
        <v>4.69464432366371</v>
      </c>
      <c r="D139" s="27" t="n">
        <f aca="false">$B139*$D$72</f>
        <v>5.50342348541706</v>
      </c>
      <c r="E139" s="27" t="n">
        <f aca="false">$B139*$E$72</f>
        <v>0.959820651063396</v>
      </c>
      <c r="F139" s="27" t="n">
        <f aca="false">$B139*$F$72</f>
        <v>0.649743306112776</v>
      </c>
      <c r="G139" s="27" t="n">
        <f aca="false">$B139*$G$72</f>
        <v>0.00920061687153252</v>
      </c>
      <c r="H139" s="27" t="n">
        <f aca="false">$B139*$H$72</f>
        <v>0.00920061687153252</v>
      </c>
    </row>
    <row r="140" customFormat="false" ht="15" hidden="false" customHeight="true" outlineLevel="0" collapsed="false">
      <c r="A140" s="5" t="n">
        <v>2019</v>
      </c>
      <c r="B140" s="27" t="n">
        <f aca="false">D27</f>
        <v>12.2936927997576</v>
      </c>
      <c r="C140" s="27" t="n">
        <f aca="false">$B140*$C$72</f>
        <v>4.88029376539432</v>
      </c>
      <c r="D140" s="27" t="n">
        <f aca="false">$B140*$D$72</f>
        <v>5.7210560529206</v>
      </c>
      <c r="E140" s="27" t="n">
        <f aca="false">$B140*$E$72</f>
        <v>0.997776703907113</v>
      </c>
      <c r="F140" s="27" t="n">
        <f aca="false">$B140*$F$72</f>
        <v>0.675437368054811</v>
      </c>
      <c r="G140" s="27" t="n">
        <f aca="false">$B140*$G$72</f>
        <v>0.00956445474039247</v>
      </c>
      <c r="H140" s="27" t="n">
        <f aca="false">$B140*$H$72</f>
        <v>0.00956445474039247</v>
      </c>
    </row>
    <row r="141" customFormat="false" ht="15" hidden="false" customHeight="true" outlineLevel="0" collapsed="false">
      <c r="A141" s="5" t="n">
        <v>2020</v>
      </c>
      <c r="B141" s="27" t="n">
        <f aca="false">D28</f>
        <v>12.7798461795948</v>
      </c>
      <c r="C141" s="27" t="n">
        <f aca="false">$B141*$C$72</f>
        <v>5.07328470369821</v>
      </c>
      <c r="D141" s="27" t="n">
        <f aca="false">$B141*$D$72</f>
        <v>5.94729488787996</v>
      </c>
      <c r="E141" s="27" t="n">
        <f aca="false">$B141*$E$72</f>
        <v>1.03723372669337</v>
      </c>
      <c r="F141" s="27" t="n">
        <f aca="false">$B141*$F$72</f>
        <v>0.702147500209299</v>
      </c>
      <c r="G141" s="27" t="n">
        <f aca="false">$B141*$G$72</f>
        <v>0.00994268055700255</v>
      </c>
      <c r="H141" s="27" t="n">
        <f aca="false">$B141*$H$72</f>
        <v>0.00994268055700255</v>
      </c>
    </row>
    <row r="142" customFormat="false" ht="15" hidden="false" customHeight="true" outlineLevel="0" collapsed="false">
      <c r="A142" s="5" t="n">
        <v>2021</v>
      </c>
      <c r="B142" s="27" t="n">
        <f aca="false">D29</f>
        <v>13.2852244670799</v>
      </c>
      <c r="C142" s="27" t="n">
        <f aca="false">$B142*$C$72</f>
        <v>5.27390745763817</v>
      </c>
      <c r="D142" s="27" t="n">
        <f aca="false">$B142*$D$72</f>
        <v>6.1824803246503</v>
      </c>
      <c r="E142" s="27" t="n">
        <f aca="false">$B142*$E$72</f>
        <v>1.07825107519284</v>
      </c>
      <c r="F142" s="27" t="n">
        <f aca="false">$B142*$F$72</f>
        <v>0.729913883014775</v>
      </c>
      <c r="G142" s="27" t="n">
        <f aca="false">$B142*$G$72</f>
        <v>0.010335863291935</v>
      </c>
      <c r="H142" s="27" t="n">
        <f aca="false">$B142*$H$72</f>
        <v>0.010335863291935</v>
      </c>
    </row>
    <row r="143" customFormat="false" ht="15" hidden="false" customHeight="true" outlineLevel="0" collapsed="false">
      <c r="A143" s="5" t="n">
        <v>2022</v>
      </c>
      <c r="B143" s="27" t="n">
        <f aca="false">D30</f>
        <v>13.8105879100882</v>
      </c>
      <c r="C143" s="27" t="n">
        <f aca="false">$B143*$C$72</f>
        <v>5.4824638269278</v>
      </c>
      <c r="D143" s="27" t="n">
        <f aca="false">$B143*$D$72</f>
        <v>6.42696615608941</v>
      </c>
      <c r="E143" s="27" t="n">
        <f aca="false">$B143*$E$72</f>
        <v>1.12089045239677</v>
      </c>
      <c r="F143" s="27" t="n">
        <f aca="false">$B143*$F$72</f>
        <v>0.758778285842925</v>
      </c>
      <c r="G143" s="27" t="n">
        <f aca="false">$B143*$G$72</f>
        <v>0.010744594415671</v>
      </c>
      <c r="H143" s="27" t="n">
        <f aca="false">$B143*$H$72</f>
        <v>0.010744594415671</v>
      </c>
    </row>
    <row r="144" customFormat="false" ht="15" hidden="false" customHeight="true" outlineLevel="0" collapsed="false">
      <c r="A144" s="5" t="n">
        <v>2023</v>
      </c>
      <c r="B144" s="27" t="n">
        <f aca="false">D31</f>
        <v>14.3567268204538</v>
      </c>
      <c r="C144" s="27" t="n">
        <f aca="false">$B144*$C$72</f>
        <v>5.6992675459331</v>
      </c>
      <c r="D144" s="27" t="n">
        <f aca="false">$B144*$D$72</f>
        <v>6.68112016577345</v>
      </c>
      <c r="E144" s="27" t="n">
        <f aca="false">$B144*$E$72</f>
        <v>1.16521600133766</v>
      </c>
      <c r="F144" s="27" t="n">
        <f aca="false">$B144*$F$72</f>
        <v>0.788784129832852</v>
      </c>
      <c r="G144" s="27" t="n">
        <f aca="false">$B144*$G$72</f>
        <v>0.0111694887883579</v>
      </c>
      <c r="H144" s="27" t="n">
        <f aca="false">$B144*$H$72</f>
        <v>0.0111694887883579</v>
      </c>
    </row>
    <row r="145" customFormat="false" ht="15" hidden="false" customHeight="true" outlineLevel="0" collapsed="false">
      <c r="A145" s="5" t="n">
        <v>2024</v>
      </c>
      <c r="B145" s="27" t="n">
        <f aca="false">D32</f>
        <v>14.924462762847</v>
      </c>
      <c r="C145" s="27" t="n">
        <f aca="false">$B145*$C$72</f>
        <v>5.92464475562769</v>
      </c>
      <c r="D145" s="27" t="n">
        <f aca="false">$B145*$D$72</f>
        <v>6.94532468125909</v>
      </c>
      <c r="E145" s="27" t="n">
        <f aca="false">$B145*$E$72</f>
        <v>1.21129440158058</v>
      </c>
      <c r="F145" s="27" t="n">
        <f aca="false">$B145*$F$72</f>
        <v>0.819976553210127</v>
      </c>
      <c r="G145" s="27" t="n">
        <f aca="false">$B145*$G$72</f>
        <v>0.0116111855847526</v>
      </c>
      <c r="H145" s="27" t="n">
        <f aca="false">$B145*$H$72</f>
        <v>0.0116111855847526</v>
      </c>
    </row>
    <row r="146" customFormat="false" ht="15" hidden="false" customHeight="true" outlineLevel="0" collapsed="false">
      <c r="A146" s="5" t="n">
        <v>2025</v>
      </c>
      <c r="B146" s="27" t="n">
        <f aca="false">D33</f>
        <v>15.9948789279976</v>
      </c>
      <c r="C146" s="27" t="n">
        <f aca="false">$B146*$C$72</f>
        <v>6.34957365390509</v>
      </c>
      <c r="D146" s="27" t="n">
        <f aca="false">$B146*$D$72</f>
        <v>7.44345904824927</v>
      </c>
      <c r="E146" s="27" t="n">
        <f aca="false">$B146*$E$72</f>
        <v>1.29817117086946</v>
      </c>
      <c r="F146" s="27" t="n">
        <f aca="false">$B146*$F$72</f>
        <v>0.878787122913553</v>
      </c>
      <c r="G146" s="27" t="n">
        <f aca="false">$B146*$G$72</f>
        <v>0.012443966030118</v>
      </c>
      <c r="H146" s="27" t="n">
        <f aca="false">$B146*$H$72</f>
        <v>0.012443966030118</v>
      </c>
    </row>
    <row r="147" customFormat="false" ht="15" hidden="false" customHeight="true" outlineLevel="0" collapsed="false">
      <c r="A147" s="5" t="n">
        <v>2026</v>
      </c>
      <c r="B147" s="27" t="n">
        <f aca="false">D34</f>
        <v>17.1360440448463</v>
      </c>
      <c r="C147" s="27" t="n">
        <f aca="false">$B147*$C$72</f>
        <v>6.80258814643836</v>
      </c>
      <c r="D147" s="27" t="n">
        <f aca="false">$B147*$D$72</f>
        <v>7.97451751094793</v>
      </c>
      <c r="E147" s="27" t="n">
        <f aca="false">$B147*$E$72</f>
        <v>1.39079004360764</v>
      </c>
      <c r="F147" s="27" t="n">
        <f aca="false">$B147*$F$72</f>
        <v>0.94148476597288</v>
      </c>
      <c r="G147" s="27" t="n">
        <f aca="false">$B147*$G$72</f>
        <v>0.0133317889397346</v>
      </c>
      <c r="H147" s="27" t="n">
        <f aca="false">$B147*$H$72</f>
        <v>0.0133317889397346</v>
      </c>
    </row>
    <row r="148" customFormat="false" ht="15" hidden="false" customHeight="true" outlineLevel="0" collapsed="false">
      <c r="A148" s="5" t="n">
        <v>2027</v>
      </c>
      <c r="B148" s="27" t="n">
        <f aca="false">D35</f>
        <v>18.3504457084773</v>
      </c>
      <c r="C148" s="27" t="n">
        <f aca="false">$B148*$C$72</f>
        <v>7.28467574731121</v>
      </c>
      <c r="D148" s="27" t="n">
        <f aca="false">$B148*$D$72</f>
        <v>8.53965770938611</v>
      </c>
      <c r="E148" s="27" t="n">
        <f aca="false">$B148*$E$72</f>
        <v>1.48935291717976</v>
      </c>
      <c r="F148" s="27" t="n">
        <f aca="false">$B148*$F$72</f>
        <v>1.00820615529054</v>
      </c>
      <c r="G148" s="27" t="n">
        <f aca="false">$B148*$G$72</f>
        <v>0.0142765896548367</v>
      </c>
      <c r="H148" s="27" t="n">
        <f aca="false">$B148*$H$72</f>
        <v>0.0142765896548367</v>
      </c>
    </row>
    <row r="149" customFormat="false" ht="15" hidden="false" customHeight="true" outlineLevel="0" collapsed="false">
      <c r="A149" s="5" t="n">
        <v>2028</v>
      </c>
      <c r="B149" s="27" t="n">
        <f aca="false">D36</f>
        <v>19.640025420798</v>
      </c>
      <c r="C149" s="27" t="n">
        <f aca="false">$B149*$C$72</f>
        <v>7.7966071850434</v>
      </c>
      <c r="D149" s="27" t="n">
        <f aca="false">$B149*$D$72</f>
        <v>9.1397831508679</v>
      </c>
      <c r="E149" s="27" t="n">
        <f aca="false">$B149*$E$72</f>
        <v>1.59401736713334</v>
      </c>
      <c r="F149" s="27" t="n">
        <f aca="false">$B149*$F$72</f>
        <v>1.07905796043764</v>
      </c>
      <c r="G149" s="27" t="n">
        <f aca="false">$B149*$G$72</f>
        <v>0.0152798786578662</v>
      </c>
      <c r="H149" s="27" t="n">
        <f aca="false">$B149*$H$72</f>
        <v>0.0152798786578662</v>
      </c>
    </row>
    <row r="150" customFormat="false" ht="15" hidden="false" customHeight="true" outlineLevel="0" collapsed="false">
      <c r="A150" s="5" t="n">
        <v>2029</v>
      </c>
      <c r="B150" s="27" t="n">
        <f aca="false">D37</f>
        <v>21.0082052501968</v>
      </c>
      <c r="C150" s="27" t="n">
        <f aca="false">$B150*$C$72</f>
        <v>8.33974093664362</v>
      </c>
      <c r="D150" s="27" t="n">
        <f aca="false">$B150*$D$72</f>
        <v>9.77648634672293</v>
      </c>
      <c r="E150" s="27" t="n">
        <f aca="false">$B150*$E$72</f>
        <v>1.70506113427193</v>
      </c>
      <c r="F150" s="27" t="n">
        <f aca="false">$B150*$F$72</f>
        <v>1.15422819594353</v>
      </c>
      <c r="G150" s="27" t="n">
        <f aca="false">$B150*$G$72</f>
        <v>0.0163443183073798</v>
      </c>
      <c r="H150" s="27" t="n">
        <f aca="false">$B150*$H$72</f>
        <v>0.0163443183073798</v>
      </c>
    </row>
    <row r="151" customFormat="false" ht="15" hidden="false" customHeight="true" outlineLevel="0" collapsed="false">
      <c r="A151" s="5" t="n">
        <v>2030</v>
      </c>
      <c r="B151" s="27" t="n">
        <f aca="false">D38</f>
        <v>22.4589924696305</v>
      </c>
      <c r="C151" s="27" t="n">
        <f aca="false">$B151*$C$72</f>
        <v>8.91566779094535</v>
      </c>
      <c r="D151" s="27" t="n">
        <f aca="false">$B151*$D$72</f>
        <v>10.451632142086</v>
      </c>
      <c r="E151" s="27" t="n">
        <f aca="false">$B151*$E$72</f>
        <v>1.82280945558233</v>
      </c>
      <c r="F151" s="27" t="n">
        <f aca="false">$B151*$F$72</f>
        <v>1.23393702851832</v>
      </c>
      <c r="G151" s="27" t="n">
        <f aca="false">$B151*$G$72</f>
        <v>0.0174730262492675</v>
      </c>
      <c r="H151" s="27" t="n">
        <f aca="false">$B151*$H$72</f>
        <v>0.0174730262492675</v>
      </c>
    </row>
    <row r="152" customFormat="false" ht="15" hidden="false" customHeight="true" outlineLevel="0" collapsed="false">
      <c r="A152" s="5" t="n">
        <v>2031</v>
      </c>
      <c r="B152" s="27" t="n">
        <f aca="false">D39</f>
        <v>23.992600329276</v>
      </c>
      <c r="C152" s="27" t="n">
        <f aca="false">$B152*$C$72</f>
        <v>9.52447240302541</v>
      </c>
      <c r="D152" s="27" t="n">
        <f aca="false">$B152*$D$72</f>
        <v>11.1653197761551</v>
      </c>
      <c r="E152" s="27" t="n">
        <f aca="false">$B152*$E$72</f>
        <v>1.94727963880615</v>
      </c>
      <c r="F152" s="27" t="n">
        <f aca="false">$B152*$F$72</f>
        <v>1.31819617450639</v>
      </c>
      <c r="G152" s="27" t="n">
        <f aca="false">$B152*$G$72</f>
        <v>0.0186661683915032</v>
      </c>
      <c r="H152" s="27" t="n">
        <f aca="false">$B152*$H$72</f>
        <v>0.0186661683915032</v>
      </c>
    </row>
    <row r="153" customFormat="false" ht="15" hidden="false" customHeight="true" outlineLevel="0" collapsed="false">
      <c r="A153" s="5" t="n">
        <v>2032</v>
      </c>
      <c r="B153" s="27" t="n">
        <f aca="false">D40</f>
        <v>25.6131743514744</v>
      </c>
      <c r="C153" s="27" t="n">
        <f aca="false">$B153*$C$72</f>
        <v>10.1678004433235</v>
      </c>
      <c r="D153" s="27" t="n">
        <f aca="false">$B153*$D$72</f>
        <v>11.9194784305088</v>
      </c>
      <c r="E153" s="27" t="n">
        <f aca="false">$B153*$E$72</f>
        <v>2.0788081414818</v>
      </c>
      <c r="F153" s="27" t="n">
        <f aca="false">$B153*$F$72</f>
        <v>1.40723339628512</v>
      </c>
      <c r="G153" s="27" t="n">
        <f aca="false">$B153*$G$72</f>
        <v>0.0199269699375673</v>
      </c>
      <c r="H153" s="27" t="n">
        <f aca="false">$B153*$H$72</f>
        <v>0.0199269699375673</v>
      </c>
    </row>
    <row r="154" customFormat="false" ht="15" hidden="false" customHeight="true" outlineLevel="0" collapsed="false">
      <c r="A154" s="5" t="n">
        <v>2033</v>
      </c>
      <c r="B154" s="27" t="n">
        <f aca="false">D41</f>
        <v>27.3242893618224</v>
      </c>
      <c r="C154" s="27" t="n">
        <f aca="false">$B154*$C$72</f>
        <v>10.8470710297041</v>
      </c>
      <c r="D154" s="27" t="n">
        <f aca="false">$B154*$D$72</f>
        <v>12.7157717043564</v>
      </c>
      <c r="E154" s="27" t="n">
        <f aca="false">$B154*$E$72</f>
        <v>2.21768510244382</v>
      </c>
      <c r="F154" s="27" t="n">
        <f aca="false">$B154*$F$72</f>
        <v>1.50124510113684</v>
      </c>
      <c r="G154" s="27" t="n">
        <f aca="false">$B154*$G$72</f>
        <v>0.0212582120906495</v>
      </c>
      <c r="H154" s="27" t="n">
        <f aca="false">$B154*$H$72</f>
        <v>0.0212582120906495</v>
      </c>
    </row>
    <row r="155" customFormat="false" ht="15" hidden="false" customHeight="true" outlineLevel="0" collapsed="false">
      <c r="A155" s="5" t="n">
        <v>2034</v>
      </c>
      <c r="B155" s="27" t="n">
        <f aca="false">D42</f>
        <v>29.1251846545956</v>
      </c>
      <c r="C155" s="27" t="n">
        <f aca="false">$B155*$C$72</f>
        <v>11.5619821806987</v>
      </c>
      <c r="D155" s="27" t="n">
        <f aca="false">$B155*$D$72</f>
        <v>13.5538455917728</v>
      </c>
      <c r="E155" s="27" t="n">
        <f aca="false">$B155*$E$72</f>
        <v>2.36384878154116</v>
      </c>
      <c r="F155" s="27" t="n">
        <f aca="false">$B155*$F$72</f>
        <v>1.60018949453482</v>
      </c>
      <c r="G155" s="27" t="n">
        <f aca="false">$B155*$G$72</f>
        <v>0.0226593030240633</v>
      </c>
      <c r="H155" s="27" t="n">
        <f aca="false">$B155*$H$72</f>
        <v>0.0226593030240633</v>
      </c>
    </row>
    <row r="156" customFormat="false" ht="15" hidden="false" customHeight="true" outlineLevel="0" collapsed="false">
      <c r="A156" s="5" t="n">
        <v>2035</v>
      </c>
      <c r="B156" s="27" t="n">
        <f aca="false">D43</f>
        <v>31.0188861185366</v>
      </c>
      <c r="C156" s="27" t="n">
        <f aca="false">$B156*$C$72</f>
        <v>12.3137350997379</v>
      </c>
      <c r="D156" s="27" t="n">
        <f aca="false">$B156*$D$72</f>
        <v>14.4351082358921</v>
      </c>
      <c r="E156" s="27" t="n">
        <f aca="false">$B156*$E$72</f>
        <v>2.51754476497361</v>
      </c>
      <c r="F156" s="27" t="n">
        <f aca="false">$B156*$F$72</f>
        <v>1.70423282419334</v>
      </c>
      <c r="G156" s="27" t="n">
        <f aca="false">$B156*$G$72</f>
        <v>0.024132596869834</v>
      </c>
      <c r="H156" s="27" t="n">
        <f aca="false">$B156*$H$72</f>
        <v>0.024132596869834</v>
      </c>
    </row>
    <row r="157" customFormat="false" ht="15" hidden="false" customHeight="true" outlineLevel="0" collapsed="false">
      <c r="A157" s="5" t="n">
        <v>2036</v>
      </c>
      <c r="B157" s="27" t="n">
        <f aca="false">D44</f>
        <v>33.0065533293181</v>
      </c>
      <c r="C157" s="27" t="n">
        <f aca="false">$B157*$C$72</f>
        <v>13.1027901098523</v>
      </c>
      <c r="D157" s="27" t="n">
        <f aca="false">$B157*$D$72</f>
        <v>15.3600992628077</v>
      </c>
      <c r="E157" s="27" t="n">
        <f aca="false">$B157*$E$72</f>
        <v>2.67886716584545</v>
      </c>
      <c r="F157" s="27" t="n">
        <f aca="false">$B157*$F$72</f>
        <v>1.8134387992642</v>
      </c>
      <c r="G157" s="27" t="n">
        <f aca="false">$B157*$G$72</f>
        <v>0.0256789957742264</v>
      </c>
      <c r="H157" s="27" t="n">
        <f aca="false">$B157*$H$72</f>
        <v>0.0256789957742264</v>
      </c>
    </row>
    <row r="158" customFormat="false" ht="15" hidden="false" customHeight="true" outlineLevel="0" collapsed="false">
      <c r="A158" s="5" t="n">
        <v>2037</v>
      </c>
      <c r="B158" s="27" t="n">
        <f aca="false">D45</f>
        <v>35.0893464595893</v>
      </c>
      <c r="C158" s="27" t="n">
        <f aca="false">$B158*$C$72</f>
        <v>13.9296077710573</v>
      </c>
      <c r="D158" s="27" t="n">
        <f aca="false">$B158*$D$72</f>
        <v>16.3293585764254</v>
      </c>
      <c r="E158" s="27" t="n">
        <f aca="false">$B158*$E$72</f>
        <v>2.84791014571261</v>
      </c>
      <c r="F158" s="27" t="n">
        <f aca="false">$B158*$F$72</f>
        <v>1.92787116169811</v>
      </c>
      <c r="G158" s="27" t="n">
        <f aca="false">$B158*$G$72</f>
        <v>0.0272994023479511</v>
      </c>
      <c r="H158" s="27" t="n">
        <f aca="false">$B158*$H$72</f>
        <v>0.0272994023479511</v>
      </c>
    </row>
    <row r="159" customFormat="false" ht="15" hidden="false" customHeight="true" outlineLevel="0" collapsed="false">
      <c r="A159" s="5" t="n">
        <v>2038</v>
      </c>
      <c r="B159" s="27" t="n">
        <f aca="false">D46</f>
        <v>37.2665441183506</v>
      </c>
      <c r="C159" s="27" t="n">
        <f aca="false">$B159*$C$72</f>
        <v>14.7939017088636</v>
      </c>
      <c r="D159" s="27" t="n">
        <f aca="false">$B159*$D$72</f>
        <v>17.3425504665226</v>
      </c>
      <c r="E159" s="27" t="n">
        <f aca="false">$B159*$E$72</f>
        <v>3.02461515527295</v>
      </c>
      <c r="F159" s="27" t="n">
        <f aca="false">$B159*$F$72</f>
        <v>2.04749027698931</v>
      </c>
      <c r="G159" s="27" t="n">
        <f aca="false">$B159*$G$72</f>
        <v>0.0289932553510553</v>
      </c>
      <c r="H159" s="27" t="n">
        <f aca="false">$B159*$H$72</f>
        <v>0.0289932553510553</v>
      </c>
    </row>
    <row r="160" customFormat="false" ht="15" hidden="false" customHeight="true" outlineLevel="0" collapsed="false">
      <c r="A160" s="5" t="n">
        <v>2039</v>
      </c>
      <c r="B160" s="27" t="n">
        <f aca="false">D47</f>
        <v>39.5396141178477</v>
      </c>
      <c r="C160" s="27" t="n">
        <f aca="false">$B160*$C$72</f>
        <v>15.6962546086424</v>
      </c>
      <c r="D160" s="27" t="n">
        <f aca="false">$B160*$D$72</f>
        <v>18.4003580017484</v>
      </c>
      <c r="E160" s="27" t="n">
        <f aca="false">$B160*$E$72</f>
        <v>3.20910132462746</v>
      </c>
      <c r="F160" s="27" t="n">
        <f aca="false">$B160*$F$72</f>
        <v>2.17237678935563</v>
      </c>
      <c r="G160" s="27" t="n">
        <f aca="false">$B160*$G$72</f>
        <v>0.0307616967368986</v>
      </c>
      <c r="H160" s="27" t="n">
        <f aca="false">$B160*$H$72</f>
        <v>0.0307616967368986</v>
      </c>
    </row>
    <row r="161" customFormat="false" ht="15" hidden="false" customHeight="true" outlineLevel="0" collapsed="false">
      <c r="A161" s="5" t="n">
        <v>2040</v>
      </c>
      <c r="B161" s="27" t="n">
        <f aca="false">D48</f>
        <v>41.9075725990135</v>
      </c>
      <c r="C161" s="27" t="n">
        <f aca="false">$B161*$C$72</f>
        <v>16.636275902535</v>
      </c>
      <c r="D161" s="27" t="n">
        <f aca="false">$B161*$D$72</f>
        <v>19.5023233283918</v>
      </c>
      <c r="E161" s="27" t="n">
        <f aca="false">$B161*$E$72</f>
        <v>3.40128880212593</v>
      </c>
      <c r="F161" s="27" t="n">
        <f aca="false">$B161*$F$72</f>
        <v>2.30247664382843</v>
      </c>
      <c r="G161" s="27" t="n">
        <f aca="false">$B161*$G$72</f>
        <v>0.0326039610661883</v>
      </c>
      <c r="H161" s="27" t="n">
        <f aca="false">$B161*$H$72</f>
        <v>0.0326039610661883</v>
      </c>
    </row>
    <row r="162" customFormat="false" ht="15" hidden="false" customHeight="true" outlineLevel="0" collapsed="false">
      <c r="A162" s="5" t="n">
        <v>2041</v>
      </c>
      <c r="B162" s="27" t="n">
        <f aca="false">D49</f>
        <v>44.3688243918765</v>
      </c>
      <c r="C162" s="27" t="n">
        <f aca="false">$B162*$C$72</f>
        <v>17.6133323472846</v>
      </c>
      <c r="D162" s="27" t="n">
        <f aca="false">$B162*$D$72</f>
        <v>20.6477041099579</v>
      </c>
      <c r="E162" s="27" t="n">
        <f aca="false">$B162*$E$72</f>
        <v>3.60104812110099</v>
      </c>
      <c r="F162" s="27" t="n">
        <f aca="false">$B162*$F$72</f>
        <v>2.43770219892968</v>
      </c>
      <c r="G162" s="27" t="n">
        <f aca="false">$B162*$G$72</f>
        <v>0.0345188073016507</v>
      </c>
      <c r="H162" s="27" t="n">
        <f aca="false">$B162*$H$72</f>
        <v>0.0345188073016507</v>
      </c>
    </row>
    <row r="163" customFormat="false" ht="15" hidden="false" customHeight="true" outlineLevel="0" collapsed="false">
      <c r="A163" s="5" t="n">
        <v>2042</v>
      </c>
      <c r="B163" s="27" t="n">
        <f aca="false">D50</f>
        <v>46.9204558641139</v>
      </c>
      <c r="C163" s="27" t="n">
        <f aca="false">$B163*$C$72</f>
        <v>18.6262673024992</v>
      </c>
      <c r="D163" s="27" t="n">
        <f aca="false">$B163*$D$72</f>
        <v>21.8351444435373</v>
      </c>
      <c r="E163" s="27" t="n">
        <f aca="false">$B163*$E$72</f>
        <v>3.80814280627199</v>
      </c>
      <c r="F163" s="27" t="n">
        <f aca="false">$B163*$F$72</f>
        <v>2.57789337451265</v>
      </c>
      <c r="G163" s="27" t="n">
        <f aca="false">$B163*$G$72</f>
        <v>0.036503968646406</v>
      </c>
      <c r="H163" s="27" t="n">
        <f aca="false">$B163*$H$72</f>
        <v>0.036503968646406</v>
      </c>
    </row>
    <row r="164" customFormat="false" ht="15" hidden="false" customHeight="true" outlineLevel="0" collapsed="false">
      <c r="A164" s="5" t="n">
        <v>2043</v>
      </c>
      <c r="B164" s="27" t="n">
        <f aca="false">D51</f>
        <v>49.5615857020476</v>
      </c>
      <c r="C164" s="27" t="n">
        <f aca="false">$B164*$C$72</f>
        <v>19.6747309083181</v>
      </c>
      <c r="D164" s="27" t="n">
        <f aca="false">$B164*$D$72</f>
        <v>23.064234196468</v>
      </c>
      <c r="E164" s="27" t="n">
        <f aca="false">$B164*$E$72</f>
        <v>4.02250132874427</v>
      </c>
      <c r="F164" s="27" t="n">
        <f aca="false">$B164*$F$72</f>
        <v>2.7230017496349</v>
      </c>
      <c r="G164" s="27" t="n">
        <f aca="false">$B164*$G$72</f>
        <v>0.0385587594411553</v>
      </c>
      <c r="H164" s="27" t="n">
        <f aca="false">$B164*$H$72</f>
        <v>0.0385587594411553</v>
      </c>
    </row>
    <row r="165" customFormat="false" ht="15" hidden="false" customHeight="true" outlineLevel="0" collapsed="false">
      <c r="A165" s="5" t="n">
        <v>2044</v>
      </c>
      <c r="B165" s="27" t="n">
        <f aca="false">D52</f>
        <v>52.2909046674911</v>
      </c>
      <c r="C165" s="27" t="n">
        <f aca="false">$B165*$C$72</f>
        <v>20.7582034293729</v>
      </c>
      <c r="D165" s="27" t="n">
        <f aca="false">$B165*$D$72</f>
        <v>24.3343640949399</v>
      </c>
      <c r="E165" s="27" t="n">
        <f aca="false">$B165*$E$72</f>
        <v>4.2440174285532</v>
      </c>
      <c r="F165" s="27" t="n">
        <f aca="false">$B165*$F$72</f>
        <v>2.87295539241973</v>
      </c>
      <c r="G165" s="27" t="n">
        <f aca="false">$B165*$G$72</f>
        <v>0.0406821611026636</v>
      </c>
      <c r="H165" s="27" t="n">
        <f aca="false">$B165*$H$72</f>
        <v>0.0406821611026636</v>
      </c>
    </row>
    <row r="166" customFormat="false" ht="15" hidden="false" customHeight="true" outlineLevel="0" collapsed="false">
      <c r="A166" s="5" t="n">
        <v>2045</v>
      </c>
      <c r="B166" s="27" t="n">
        <f aca="false">D53</f>
        <v>55.1037159692694</v>
      </c>
      <c r="C166" s="27" t="n">
        <f aca="false">$B166*$C$72</f>
        <v>21.8748203550512</v>
      </c>
      <c r="D166" s="27" t="n">
        <f aca="false">$B166*$D$72</f>
        <v>25.6433484160773</v>
      </c>
      <c r="E166" s="27" t="n">
        <f aca="false">$B166*$E$72</f>
        <v>4.47230990625822</v>
      </c>
      <c r="F166" s="27" t="n">
        <f aca="false">$B166*$F$72</f>
        <v>3.02749625279859</v>
      </c>
      <c r="G166" s="27" t="n">
        <f aca="false">$B166*$G$72</f>
        <v>0.0428705195420134</v>
      </c>
      <c r="H166" s="27" t="n">
        <f aca="false">$B166*$H$72</f>
        <v>0.0428705195420134</v>
      </c>
    </row>
    <row r="167" customFormat="false" ht="15" hidden="false" customHeight="true" outlineLevel="0" collapsed="false">
      <c r="A167" s="5" t="n">
        <v>2046</v>
      </c>
      <c r="B167" s="27" t="n">
        <f aca="false">D54</f>
        <v>57.9970955696943</v>
      </c>
      <c r="C167" s="27" t="n">
        <f aca="false">$B167*$C$72</f>
        <v>23.0234209142869</v>
      </c>
      <c r="D167" s="27" t="n">
        <f aca="false">$B167*$D$72</f>
        <v>26.9898264146763</v>
      </c>
      <c r="E167" s="27" t="n">
        <f aca="false">$B167*$E$72</f>
        <v>4.70714144206177</v>
      </c>
      <c r="F167" s="27" t="n">
        <f aca="false">$B167*$F$72</f>
        <v>3.18646367893543</v>
      </c>
      <c r="G167" s="27" t="n">
        <f aca="false">$B167*$G$72</f>
        <v>0.0451215598669827</v>
      </c>
      <c r="H167" s="27" t="n">
        <f aca="false">$B167*$H$72</f>
        <v>0.0451215598669827</v>
      </c>
    </row>
    <row r="168" customFormat="false" ht="15" hidden="false" customHeight="true" outlineLevel="0" collapsed="false">
      <c r="A168" s="5" t="n">
        <v>2047</v>
      </c>
      <c r="B168" s="27" t="n">
        <f aca="false">D55</f>
        <v>60.9671712768418</v>
      </c>
      <c r="C168" s="27" t="n">
        <f aca="false">$B168*$C$72</f>
        <v>24.2024679420951</v>
      </c>
      <c r="D168" s="27" t="n">
        <f aca="false">$B168*$D$72</f>
        <v>28.3719961076056</v>
      </c>
      <c r="E168" s="27" t="n">
        <f aca="false">$B168*$E$72</f>
        <v>4.94819776237998</v>
      </c>
      <c r="F168" s="27" t="n">
        <f aca="false">$B168*$F$72</f>
        <v>3.34964492571254</v>
      </c>
      <c r="G168" s="27" t="n">
        <f aca="false">$B168*$G$72</f>
        <v>0.0474322695243048</v>
      </c>
      <c r="H168" s="27" t="n">
        <f aca="false">$B168*$H$72</f>
        <v>0.0474322695243048</v>
      </c>
    </row>
    <row r="169" customFormat="false" ht="15" hidden="false" customHeight="true" outlineLevel="0" collapsed="false">
      <c r="A169" s="5" t="n">
        <v>2048</v>
      </c>
      <c r="B169" s="27" t="n">
        <f aca="false">D56</f>
        <v>64.0108924000211</v>
      </c>
      <c r="C169" s="27" t="n">
        <f aca="false">$B169*$C$72</f>
        <v>25.4107503892817</v>
      </c>
      <c r="D169" s="27" t="n">
        <f aca="false">$B169*$D$72</f>
        <v>29.7884378097694</v>
      </c>
      <c r="E169" s="27" t="n">
        <f aca="false">$B169*$E$72</f>
        <v>5.19523126804544</v>
      </c>
      <c r="F169" s="27" t="n">
        <f aca="false">$B169*$F$72</f>
        <v>3.51687238275243</v>
      </c>
      <c r="G169" s="27" t="n">
        <f aca="false">$B169*$G$72</f>
        <v>0.0498002750861161</v>
      </c>
      <c r="H169" s="27" t="n">
        <f aca="false">$B169*$H$72</f>
        <v>0.0498002750861161</v>
      </c>
    </row>
    <row r="170" customFormat="false" ht="15" hidden="false" customHeight="true" outlineLevel="0" collapsed="false">
      <c r="A170" s="5" t="n">
        <v>2049</v>
      </c>
      <c r="B170" s="27" t="n">
        <f aca="false">D57</f>
        <v>67.1217760049829</v>
      </c>
      <c r="C170" s="27" t="n">
        <f aca="false">$B170*$C$72</f>
        <v>26.6456946903514</v>
      </c>
      <c r="D170" s="27" t="n">
        <f aca="false">$B170*$D$72</f>
        <v>31.2361345895725</v>
      </c>
      <c r="E170" s="27" t="n">
        <f aca="false">$B170*$E$72</f>
        <v>5.44771579325325</v>
      </c>
      <c r="F170" s="27" t="n">
        <f aca="false">$B170*$F$72</f>
        <v>3.68778986610631</v>
      </c>
      <c r="G170" s="27" t="n">
        <f aca="false">$B170*$G$72</f>
        <v>0.0522205328497453</v>
      </c>
      <c r="H170" s="27" t="n">
        <f aca="false">$B170*$H$72</f>
        <v>0.0522205328497453</v>
      </c>
    </row>
    <row r="171" customFormat="false" ht="15" hidden="false" customHeight="true" outlineLevel="0" collapsed="false">
      <c r="A171" s="5" t="n">
        <v>2050</v>
      </c>
      <c r="B171" s="27" t="n">
        <f aca="false">D58</f>
        <v>70.2961014549898</v>
      </c>
      <c r="C171" s="27" t="n">
        <f aca="false">$B171*$C$72</f>
        <v>27.9058238440021</v>
      </c>
      <c r="D171" s="27" t="n">
        <f aca="false">$B171*$D$72</f>
        <v>32.7133549923843</v>
      </c>
      <c r="E171" s="27" t="n">
        <f aca="false">$B171*$E$72</f>
        <v>5.70534936489242</v>
      </c>
      <c r="F171" s="27" t="n">
        <f aca="false">$B171*$F$72</f>
        <v>3.86219295736822</v>
      </c>
      <c r="G171" s="27" t="n">
        <f aca="false">$B171*$G$72</f>
        <v>0.0546901481713893</v>
      </c>
      <c r="H171" s="27" t="n">
        <f aca="false">$B171*$H$72</f>
        <v>0.0546901481713893</v>
      </c>
    </row>
    <row r="172" customFormat="false" ht="15" hidden="false" customHeight="true" outlineLevel="0" collapsed="false">
      <c r="A172" s="5" t="n">
        <v>2051</v>
      </c>
      <c r="B172" s="27" t="n">
        <f aca="false">D59</f>
        <v>73.5295771068626</v>
      </c>
      <c r="C172" s="27" t="n">
        <f aca="false">$B172*$C$72</f>
        <v>29.1894341734143</v>
      </c>
      <c r="D172" s="27" t="n">
        <f aca="false">$B172*$D$72</f>
        <v>34.218101837082</v>
      </c>
      <c r="E172" s="27" t="n">
        <f aca="false">$B172*$E$72</f>
        <v>5.96778366601252</v>
      </c>
      <c r="F172" s="27" t="n">
        <f aca="false">$B172*$F$72</f>
        <v>4.03984586602178</v>
      </c>
      <c r="G172" s="27" t="n">
        <f aca="false">$B172*$G$72</f>
        <v>0.0572057821660104</v>
      </c>
      <c r="H172" s="27" t="n">
        <f aca="false">$B172*$H$72</f>
        <v>0.0572057821660104</v>
      </c>
    </row>
    <row r="173" customFormat="false" ht="15" hidden="false" customHeight="true" outlineLevel="0" collapsed="false">
      <c r="A173" s="5" t="n">
        <v>2052</v>
      </c>
      <c r="B173" s="27" t="n">
        <f aca="false">D60</f>
        <v>76.8132705317861</v>
      </c>
      <c r="C173" s="27" t="n">
        <f aca="false">$B173*$C$72</f>
        <v>30.492979723978</v>
      </c>
      <c r="D173" s="27" t="n">
        <f aca="false">$B173*$D$72</f>
        <v>35.7462182826926</v>
      </c>
      <c r="E173" s="27" t="n">
        <f aca="false">$B173*$E$72</f>
        <v>6.23429372572592</v>
      </c>
      <c r="F173" s="27" t="n">
        <f aca="false">$B173*$F$72</f>
        <v>4.22025782852608</v>
      </c>
      <c r="G173" s="27" t="n">
        <f aca="false">$B173*$G$72</f>
        <v>0.0597604854317878</v>
      </c>
      <c r="H173" s="27" t="n">
        <f aca="false">$B173*$H$72</f>
        <v>0.0597604854317878</v>
      </c>
    </row>
    <row r="174" customFormat="false" ht="15" hidden="false" customHeight="true" outlineLevel="0" collapsed="false">
      <c r="A174" s="5" t="n">
        <v>2053</v>
      </c>
      <c r="B174" s="27" t="n">
        <f aca="false">D61</f>
        <v>80.1422498559187</v>
      </c>
      <c r="C174" s="27" t="n">
        <f aca="false">$B174*$C$72</f>
        <v>31.8145026630424</v>
      </c>
      <c r="D174" s="27" t="n">
        <f aca="false">$B174*$D$72</f>
        <v>37.2954092070625</v>
      </c>
      <c r="E174" s="27" t="n">
        <f aca="false">$B174*$E$72</f>
        <v>6.50447926488901</v>
      </c>
      <c r="F174" s="27" t="n">
        <f aca="false">$B174*$F$72</f>
        <v>4.40315787895237</v>
      </c>
      <c r="G174" s="27" t="n">
        <f aca="false">$B174*$G$72</f>
        <v>0.0623504209862208</v>
      </c>
      <c r="H174" s="27" t="n">
        <f aca="false">$B174*$H$72</f>
        <v>0.0623504209862208</v>
      </c>
    </row>
    <row r="175" customFormat="false" ht="15" hidden="false" customHeight="true" outlineLevel="0" collapsed="false">
      <c r="A175" s="5" t="n">
        <v>2054</v>
      </c>
      <c r="B175" s="27" t="n">
        <f aca="false">D62</f>
        <v>83.5069132976323</v>
      </c>
      <c r="C175" s="27" t="n">
        <f aca="false">$B175*$C$72</f>
        <v>33.1501913193889</v>
      </c>
      <c r="D175" s="27" t="n">
        <f aca="false">$B175*$D$72</f>
        <v>38.8612062757541</v>
      </c>
      <c r="E175" s="27" t="n">
        <f aca="false">$B175*$E$72</f>
        <v>6.77756098681848</v>
      </c>
      <c r="F175" s="27" t="n">
        <f aca="false">$B175*$F$72</f>
        <v>4.5880184783246</v>
      </c>
      <c r="G175" s="27" t="n">
        <f aca="false">$B175*$G$72</f>
        <v>0.0649681186730832</v>
      </c>
      <c r="H175" s="27" t="n">
        <f aca="false">$B175*$H$72</f>
        <v>0.0649681186730832</v>
      </c>
    </row>
    <row r="176" customFormat="false" ht="15" hidden="false" customHeight="true" outlineLevel="0" collapsed="false">
      <c r="A176" s="5" t="n">
        <v>2055</v>
      </c>
      <c r="B176" s="27" t="n">
        <f aca="false">D63</f>
        <v>86.8993898110927</v>
      </c>
      <c r="C176" s="27" t="n">
        <f aca="false">$B176*$C$72</f>
        <v>34.4969210813539</v>
      </c>
      <c r="D176" s="27" t="n">
        <f aca="false">$B176*$D$72</f>
        <v>40.4399465784325</v>
      </c>
      <c r="E176" s="27" t="n">
        <f aca="false">$B176*$E$72</f>
        <v>7.05290006424765</v>
      </c>
      <c r="F176" s="27" t="n">
        <f aca="false">$B176*$F$72</f>
        <v>4.77440717737235</v>
      </c>
      <c r="G176" s="27" t="n">
        <f aca="false">$B176*$G$72</f>
        <v>0.0676074548432108</v>
      </c>
      <c r="H176" s="27" t="n">
        <f aca="false">$B176*$H$72</f>
        <v>0.0676074548432108</v>
      </c>
    </row>
    <row r="177" customFormat="false" ht="15" hidden="false" customHeight="true" outlineLevel="0" collapsed="false">
      <c r="A177" s="5" t="n">
        <v>2056</v>
      </c>
      <c r="B177" s="27" t="n">
        <f aca="false">D64</f>
        <v>90.3143050524436</v>
      </c>
      <c r="C177" s="27" t="n">
        <f aca="false">$B177*$C$72</f>
        <v>35.8525584665701</v>
      </c>
      <c r="D177" s="27" t="n">
        <f aca="false">$B177*$D$72</f>
        <v>42.0291290828242</v>
      </c>
      <c r="E177" s="27" t="n">
        <f aca="false">$B177*$E$72</f>
        <v>7.33006030642521</v>
      </c>
      <c r="F177" s="27" t="n">
        <f aca="false">$B177*$F$72</f>
        <v>4.96202870007656</v>
      </c>
      <c r="G177" s="27" t="n">
        <f aca="false">$B177*$G$72</f>
        <v>0.0702642482738081</v>
      </c>
      <c r="H177" s="27" t="n">
        <f aca="false">$B177*$H$72</f>
        <v>0.0702642482738081</v>
      </c>
    </row>
    <row r="178" customFormat="false" ht="15" hidden="false" customHeight="true" outlineLevel="0" collapsed="false">
      <c r="A178" s="5" t="n">
        <v>2057</v>
      </c>
      <c r="B178" s="27" t="n">
        <f aca="false">D65</f>
        <v>93.7430730931674</v>
      </c>
      <c r="C178" s="27" t="n">
        <f aca="false">$B178*$C$72</f>
        <v>37.2136950725261</v>
      </c>
      <c r="D178" s="27" t="n">
        <f aca="false">$B178*$D$72</f>
        <v>43.6247581971153</v>
      </c>
      <c r="E178" s="27" t="n">
        <f aca="false">$B178*$E$72</f>
        <v>7.6083448650082</v>
      </c>
      <c r="F178" s="27" t="n">
        <f aca="false">$B178*$F$72</f>
        <v>5.15041132023953</v>
      </c>
      <c r="G178" s="27" t="n">
        <f aca="false">$B178*$G$72</f>
        <v>0.0729318191392077</v>
      </c>
      <c r="H178" s="27" t="n">
        <f aca="false">$B178*$H$72</f>
        <v>0.0729318191392077</v>
      </c>
    </row>
    <row r="179" customFormat="false" ht="15" hidden="false" customHeight="true" outlineLevel="0" collapsed="false">
      <c r="A179" s="5" t="n">
        <v>2058</v>
      </c>
      <c r="B179" s="27" t="n">
        <f aca="false">D66</f>
        <v>97.1755247099644</v>
      </c>
      <c r="C179" s="27" t="n">
        <f aca="false">$B179*$C$72</f>
        <v>38.5762939676117</v>
      </c>
      <c r="D179" s="27" t="n">
        <f aca="false">$B179*$D$72</f>
        <v>45.222101519296</v>
      </c>
      <c r="E179" s="27" t="n">
        <f aca="false">$B179*$E$72</f>
        <v>7.88692838879658</v>
      </c>
      <c r="F179" s="27" t="n">
        <f aca="false">$B179*$F$72</f>
        <v>5.33899632262958</v>
      </c>
      <c r="G179" s="27" t="n">
        <f aca="false">$B179*$G$72</f>
        <v>0.0756022558153291</v>
      </c>
      <c r="H179" s="27" t="n">
        <f aca="false">$B179*$H$72</f>
        <v>0.0756022558153291</v>
      </c>
    </row>
    <row r="180" customFormat="false" ht="15" hidden="false" customHeight="true" outlineLevel="0" collapsed="false">
      <c r="A180" s="5" t="n">
        <v>2059</v>
      </c>
      <c r="B180" s="27" t="n">
        <f aca="false">D67</f>
        <v>100.605558589369</v>
      </c>
      <c r="C180" s="27" t="n">
        <f aca="false">$B180*$C$72</f>
        <v>39.9379330803998</v>
      </c>
      <c r="D180" s="27" t="n">
        <f aca="false">$B180*$D$72</f>
        <v>46.8183197107802</v>
      </c>
      <c r="E180" s="27" t="n">
        <f aca="false">$B180*$E$72</f>
        <v>8.16531568496766</v>
      </c>
      <c r="F180" s="27" t="n">
        <f aca="false">$B180*$F$72</f>
        <v>5.52744849022318</v>
      </c>
      <c r="G180" s="27" t="n">
        <f aca="false">$B180*$G$72</f>
        <v>0.0782708114992834</v>
      </c>
      <c r="H180" s="27" t="n">
        <f aca="false">$B180*$H$72</f>
        <v>0.0782708114992834</v>
      </c>
    </row>
    <row r="181" customFormat="false" ht="15" hidden="false" customHeight="true" outlineLevel="0" collapsed="false">
      <c r="A181" s="5" t="n">
        <v>2060</v>
      </c>
      <c r="B181" s="27" t="n">
        <f aca="false">D68</f>
        <v>104.023244539157</v>
      </c>
      <c r="C181" s="27" t="n">
        <f aca="false">$B181*$C$72</f>
        <v>41.2946703687395</v>
      </c>
      <c r="D181" s="27" t="n">
        <f aca="false">$B181*$D$72</f>
        <v>48.4087916062875</v>
      </c>
      <c r="E181" s="27" t="n">
        <f aca="false">$B181*$E$72</f>
        <v>8.44270080248386</v>
      </c>
      <c r="F181" s="27" t="n">
        <f aca="false">$B181*$F$72</f>
        <v>5.71522224058141</v>
      </c>
      <c r="G181" s="27" t="n">
        <f aca="false">$B181*$G$72</f>
        <v>0.0809297605324221</v>
      </c>
      <c r="H181" s="27" t="n">
        <f aca="false">$B181*$H$72</f>
        <v>0.0809297605324221</v>
      </c>
    </row>
    <row r="184" customFormat="false" ht="15" hidden="false" customHeight="true" outlineLevel="0" collapsed="false">
      <c r="A184" s="45" t="s">
        <v>186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</row>
    <row r="185" customFormat="false" ht="15" hidden="false" customHeight="true" outlineLevel="0" collapsed="false">
      <c r="A185" s="46" t="s">
        <v>118</v>
      </c>
      <c r="B185" s="46" t="s">
        <v>184</v>
      </c>
      <c r="C185" s="46" t="s">
        <v>8</v>
      </c>
      <c r="D185" s="46" t="s">
        <v>11</v>
      </c>
      <c r="E185" s="46" t="s">
        <v>14</v>
      </c>
      <c r="F185" s="46" t="s">
        <v>16</v>
      </c>
      <c r="G185" s="46" t="s">
        <v>18</v>
      </c>
      <c r="H185" s="46" t="s">
        <v>20</v>
      </c>
    </row>
    <row r="186" customFormat="false" ht="15" hidden="false" customHeight="true" outlineLevel="0" collapsed="false">
      <c r="A186" s="5" t="n">
        <v>2010</v>
      </c>
      <c r="B186" s="27" t="n">
        <f aca="false">E18</f>
        <v>8.671474</v>
      </c>
      <c r="C186" s="27" t="n">
        <f aca="false">$B186*$C$72</f>
        <v>3.44236196465015</v>
      </c>
      <c r="D186" s="27" t="n">
        <f aca="false">$B186*$D$72</f>
        <v>4.0354016993512</v>
      </c>
      <c r="E186" s="27" t="n">
        <f aca="false">$B186*$E$72</f>
        <v>0.70379135762257</v>
      </c>
      <c r="F186" s="27" t="n">
        <f aca="false">$B186*$F$72</f>
        <v>0.476426218803125</v>
      </c>
      <c r="G186" s="27" t="n">
        <f aca="false">$B186*$G$72</f>
        <v>0.00674637978648085</v>
      </c>
      <c r="H186" s="27" t="n">
        <f aca="false">$B186*$H$72</f>
        <v>0.00674637978648085</v>
      </c>
    </row>
    <row r="187" customFormat="false" ht="15" hidden="false" customHeight="true" outlineLevel="0" collapsed="false">
      <c r="A187" s="5" t="n">
        <v>2011</v>
      </c>
      <c r="B187" s="27" t="n">
        <f aca="false">E19</f>
        <v>9.02366360779177</v>
      </c>
      <c r="C187" s="27" t="n">
        <f aca="false">$B187*$C$72</f>
        <v>3.58217257934004</v>
      </c>
      <c r="D187" s="27" t="n">
        <f aca="false">$B187*$D$72</f>
        <v>4.19929846497337</v>
      </c>
      <c r="E187" s="27" t="n">
        <f aca="false">$B187*$E$72</f>
        <v>0.732375656232971</v>
      </c>
      <c r="F187" s="27" t="n">
        <f aca="false">$B187*$F$72</f>
        <v>0.495776142834724</v>
      </c>
      <c r="G187" s="27" t="n">
        <f aca="false">$B187*$G$72</f>
        <v>0.00702038220533317</v>
      </c>
      <c r="H187" s="27" t="n">
        <f aca="false">$B187*$H$72</f>
        <v>0.00702038220533317</v>
      </c>
    </row>
    <row r="188" customFormat="false" ht="15" hidden="false" customHeight="true" outlineLevel="0" collapsed="false">
      <c r="A188" s="5" t="n">
        <v>2012</v>
      </c>
      <c r="B188" s="27" t="n">
        <f aca="false">E20</f>
        <v>9.39015730273602</v>
      </c>
      <c r="C188" s="27" t="n">
        <f aca="false">$B188*$C$72</f>
        <v>3.72766156492198</v>
      </c>
      <c r="D188" s="27" t="n">
        <f aca="false">$B188*$D$72</f>
        <v>4.36985185409494</v>
      </c>
      <c r="E188" s="27" t="n">
        <f aca="false">$B188*$E$72</f>
        <v>0.762120898521067</v>
      </c>
      <c r="F188" s="27" t="n">
        <f aca="false">$B188*$F$72</f>
        <v>0.515911958879087</v>
      </c>
      <c r="G188" s="27" t="n">
        <f aca="false">$B188*$G$72</f>
        <v>0.00730551315947599</v>
      </c>
      <c r="H188" s="27" t="n">
        <f aca="false">$B188*$H$72</f>
        <v>0.00730551315947599</v>
      </c>
    </row>
    <row r="189" customFormat="false" ht="15" hidden="false" customHeight="true" outlineLevel="0" collapsed="false">
      <c r="A189" s="5" t="n">
        <v>2013</v>
      </c>
      <c r="B189" s="27" t="n">
        <f aca="false">E21</f>
        <v>9.7715360415241</v>
      </c>
      <c r="C189" s="27" t="n">
        <f aca="false">$B189*$C$72</f>
        <v>3.87905954691793</v>
      </c>
      <c r="D189" s="27" t="n">
        <f aca="false">$B189*$D$72</f>
        <v>4.54733222370705</v>
      </c>
      <c r="E189" s="27" t="n">
        <f aca="false">$B189*$E$72</f>
        <v>0.793074235905235</v>
      </c>
      <c r="F189" s="27" t="n">
        <f aca="false">$B189*$F$72</f>
        <v>0.536865585731075</v>
      </c>
      <c r="G189" s="27" t="n">
        <f aca="false">$B189*$G$72</f>
        <v>0.00760222463140722</v>
      </c>
      <c r="H189" s="27" t="n">
        <f aca="false">$B189*$H$72</f>
        <v>0.00760222463140722</v>
      </c>
    </row>
    <row r="190" customFormat="false" ht="15" hidden="false" customHeight="true" outlineLevel="0" collapsed="false">
      <c r="A190" s="5" t="n">
        <v>2014</v>
      </c>
      <c r="B190" s="27" t="n">
        <f aca="false">E22</f>
        <v>10.1684072099971</v>
      </c>
      <c r="C190" s="27" t="n">
        <f aca="false">$B190*$C$72</f>
        <v>4.03660764257245</v>
      </c>
      <c r="D190" s="27" t="n">
        <f aca="false">$B190*$D$72</f>
        <v>4.73202223000579</v>
      </c>
      <c r="E190" s="27" t="n">
        <f aca="false">$B190*$E$72</f>
        <v>0.825284964837924</v>
      </c>
      <c r="F190" s="27" t="n">
        <f aca="false">$B190*$F$72</f>
        <v>0.558670394250083</v>
      </c>
      <c r="G190" s="27" t="n">
        <f aca="false">$B190*$G$72</f>
        <v>0.00791098916542107</v>
      </c>
      <c r="H190" s="27" t="n">
        <f aca="false">$B190*$H$72</f>
        <v>0.00791098916542107</v>
      </c>
    </row>
    <row r="191" customFormat="false" ht="15" hidden="false" customHeight="true" outlineLevel="0" collapsed="false">
      <c r="A191" s="5" t="n">
        <v>2015</v>
      </c>
      <c r="B191" s="27" t="n">
        <f aca="false">E23</f>
        <v>10.5813943615651</v>
      </c>
      <c r="C191" s="27" t="n">
        <f aca="false">$B191*$C$72</f>
        <v>4.20055338725747</v>
      </c>
      <c r="D191" s="27" t="n">
        <f aca="false">$B191*$D$72</f>
        <v>4.92421205301024</v>
      </c>
      <c r="E191" s="27" t="n">
        <f aca="false">$B191*$E$72</f>
        <v>0.858803693958569</v>
      </c>
      <c r="F191" s="27" t="n">
        <f aca="false">$B191*$F$72</f>
        <v>0.581360643570534</v>
      </c>
      <c r="G191" s="27" t="n">
        <f aca="false">$B191*$G$72</f>
        <v>0.00823229188413009</v>
      </c>
      <c r="H191" s="27" t="n">
        <f aca="false">$B191*$H$72</f>
        <v>0.00823229188413009</v>
      </c>
    </row>
    <row r="192" customFormat="false" ht="15" hidden="false" customHeight="true" outlineLevel="0" collapsed="false">
      <c r="A192" s="5" t="n">
        <v>2016</v>
      </c>
      <c r="B192" s="27" t="n">
        <f aca="false">E24</f>
        <v>11.0111548763391</v>
      </c>
      <c r="C192" s="27" t="n">
        <f aca="false">$B192*$C$72</f>
        <v>4.37115774471349</v>
      </c>
      <c r="D192" s="27" t="n">
        <f aca="false">$B192*$D$72</f>
        <v>5.12420761450684</v>
      </c>
      <c r="E192" s="27" t="n">
        <f aca="false">$B192*$E$72</f>
        <v>0.893683777338325</v>
      </c>
      <c r="F192" s="27" t="n">
        <f aca="false">$B192*$F$72</f>
        <v>0.604972451326018</v>
      </c>
      <c r="G192" s="27" t="n">
        <f aca="false">$B192*$G$72</f>
        <v>0.00856664422721491</v>
      </c>
      <c r="H192" s="27" t="n">
        <f aca="false">$B192*$H$72</f>
        <v>0.00856664422721491</v>
      </c>
    </row>
    <row r="193" customFormat="false" ht="15" hidden="false" customHeight="true" outlineLevel="0" collapsed="false">
      <c r="A193" s="5" t="n">
        <v>2017</v>
      </c>
      <c r="B193" s="27" t="n">
        <f aca="false">E25</f>
        <v>11.45837</v>
      </c>
      <c r="C193" s="27" t="n">
        <f aca="false">$B193*$C$72</f>
        <v>4.54869115272539</v>
      </c>
      <c r="D193" s="27" t="n">
        <f aca="false">$B193*$D$72</f>
        <v>5.33232594248623</v>
      </c>
      <c r="E193" s="27" t="n">
        <f aca="false">$B193*$E$72</f>
        <v>0.929980506017976</v>
      </c>
      <c r="F193" s="27" t="n">
        <f aca="false">$B193*$F$72</f>
        <v>0.629543246367015</v>
      </c>
      <c r="G193" s="27" t="n">
        <f aca="false">$B193*$G$72</f>
        <v>0.00891457620169519</v>
      </c>
      <c r="H193" s="27" t="n">
        <f aca="false">$B193*$H$72</f>
        <v>0.00891457620169519</v>
      </c>
    </row>
    <row r="194" customFormat="false" ht="15" hidden="false" customHeight="true" outlineLevel="0" collapsed="false">
      <c r="A194" s="5" t="n">
        <v>2018</v>
      </c>
      <c r="B194" s="27" t="n">
        <f aca="false">E26</f>
        <v>11.826033</v>
      </c>
      <c r="C194" s="27" t="n">
        <f aca="false">$B194*$C$72</f>
        <v>4.69464432366371</v>
      </c>
      <c r="D194" s="27" t="n">
        <f aca="false">$B194*$D$72</f>
        <v>5.50342348541706</v>
      </c>
      <c r="E194" s="27" t="n">
        <f aca="false">$B194*$E$72</f>
        <v>0.959820651063396</v>
      </c>
      <c r="F194" s="27" t="n">
        <f aca="false">$B194*$F$72</f>
        <v>0.649743306112776</v>
      </c>
      <c r="G194" s="27" t="n">
        <f aca="false">$B194*$G$72</f>
        <v>0.00920061687153252</v>
      </c>
      <c r="H194" s="27" t="n">
        <f aca="false">$B194*$H$72</f>
        <v>0.00920061687153252</v>
      </c>
    </row>
    <row r="195" customFormat="false" ht="15" hidden="false" customHeight="true" outlineLevel="0" collapsed="false">
      <c r="A195" s="5" t="n">
        <v>2019</v>
      </c>
      <c r="B195" s="27" t="n">
        <f aca="false">E27</f>
        <v>12.2936927997576</v>
      </c>
      <c r="C195" s="27" t="n">
        <f aca="false">$B195*$C$72</f>
        <v>4.88029376539432</v>
      </c>
      <c r="D195" s="27" t="n">
        <f aca="false">$B195*$D$72</f>
        <v>5.7210560529206</v>
      </c>
      <c r="E195" s="27" t="n">
        <f aca="false">$B195*$E$72</f>
        <v>0.997776703907113</v>
      </c>
      <c r="F195" s="27" t="n">
        <f aca="false">$B195*$F$72</f>
        <v>0.675437368054811</v>
      </c>
      <c r="G195" s="27" t="n">
        <f aca="false">$B195*$G$72</f>
        <v>0.00956445474039247</v>
      </c>
      <c r="H195" s="27" t="n">
        <f aca="false">$B195*$H$72</f>
        <v>0.00956445474039247</v>
      </c>
    </row>
    <row r="196" customFormat="false" ht="15" hidden="false" customHeight="true" outlineLevel="0" collapsed="false">
      <c r="A196" s="5" t="n">
        <v>2020</v>
      </c>
      <c r="B196" s="27" t="n">
        <f aca="false">E28</f>
        <v>12.7798461795948</v>
      </c>
      <c r="C196" s="27" t="n">
        <f aca="false">$B196*$C$72</f>
        <v>5.07328470369821</v>
      </c>
      <c r="D196" s="27" t="n">
        <f aca="false">$B196*$D$72</f>
        <v>5.94729488787996</v>
      </c>
      <c r="E196" s="27" t="n">
        <f aca="false">$B196*$E$72</f>
        <v>1.03723372669337</v>
      </c>
      <c r="F196" s="27" t="n">
        <f aca="false">$B196*$F$72</f>
        <v>0.702147500209299</v>
      </c>
      <c r="G196" s="27" t="n">
        <f aca="false">$B196*$G$72</f>
        <v>0.00994268055700255</v>
      </c>
      <c r="H196" s="27" t="n">
        <f aca="false">$B196*$H$72</f>
        <v>0.00994268055700255</v>
      </c>
    </row>
    <row r="197" customFormat="false" ht="15" hidden="false" customHeight="true" outlineLevel="0" collapsed="false">
      <c r="A197" s="5" t="n">
        <v>2021</v>
      </c>
      <c r="B197" s="27" t="n">
        <f aca="false">E29</f>
        <v>13.2852244670799</v>
      </c>
      <c r="C197" s="27" t="n">
        <f aca="false">$B197*$C$72</f>
        <v>5.27390745763817</v>
      </c>
      <c r="D197" s="27" t="n">
        <f aca="false">$B197*$D$72</f>
        <v>6.1824803246503</v>
      </c>
      <c r="E197" s="27" t="n">
        <f aca="false">$B197*$E$72</f>
        <v>1.07825107519284</v>
      </c>
      <c r="F197" s="27" t="n">
        <f aca="false">$B197*$F$72</f>
        <v>0.729913883014775</v>
      </c>
      <c r="G197" s="27" t="n">
        <f aca="false">$B197*$G$72</f>
        <v>0.010335863291935</v>
      </c>
      <c r="H197" s="27" t="n">
        <f aca="false">$B197*$H$72</f>
        <v>0.010335863291935</v>
      </c>
    </row>
    <row r="198" customFormat="false" ht="15" hidden="false" customHeight="true" outlineLevel="0" collapsed="false">
      <c r="A198" s="5" t="n">
        <v>2022</v>
      </c>
      <c r="B198" s="27" t="n">
        <f aca="false">E30</f>
        <v>13.8105879100882</v>
      </c>
      <c r="C198" s="27" t="n">
        <f aca="false">$B198*$C$72</f>
        <v>5.4824638269278</v>
      </c>
      <c r="D198" s="27" t="n">
        <f aca="false">$B198*$D$72</f>
        <v>6.42696615608941</v>
      </c>
      <c r="E198" s="27" t="n">
        <f aca="false">$B198*$E$72</f>
        <v>1.12089045239677</v>
      </c>
      <c r="F198" s="27" t="n">
        <f aca="false">$B198*$F$72</f>
        <v>0.758778285842925</v>
      </c>
      <c r="G198" s="27" t="n">
        <f aca="false">$B198*$G$72</f>
        <v>0.010744594415671</v>
      </c>
      <c r="H198" s="27" t="n">
        <f aca="false">$B198*$H$72</f>
        <v>0.010744594415671</v>
      </c>
    </row>
    <row r="199" customFormat="false" ht="15" hidden="false" customHeight="true" outlineLevel="0" collapsed="false">
      <c r="A199" s="5" t="n">
        <v>2023</v>
      </c>
      <c r="B199" s="27" t="n">
        <f aca="false">E31</f>
        <v>14.3567268204538</v>
      </c>
      <c r="C199" s="27" t="n">
        <f aca="false">$B199*$C$72</f>
        <v>5.6992675459331</v>
      </c>
      <c r="D199" s="27" t="n">
        <f aca="false">$B199*$D$72</f>
        <v>6.68112016577345</v>
      </c>
      <c r="E199" s="27" t="n">
        <f aca="false">$B199*$E$72</f>
        <v>1.16521600133766</v>
      </c>
      <c r="F199" s="27" t="n">
        <f aca="false">$B199*$F$72</f>
        <v>0.788784129832852</v>
      </c>
      <c r="G199" s="27" t="n">
        <f aca="false">$B199*$G$72</f>
        <v>0.0111694887883579</v>
      </c>
      <c r="H199" s="27" t="n">
        <f aca="false">$B199*$H$72</f>
        <v>0.0111694887883579</v>
      </c>
    </row>
    <row r="200" customFormat="false" ht="15" hidden="false" customHeight="true" outlineLevel="0" collapsed="false">
      <c r="A200" s="5" t="n">
        <v>2024</v>
      </c>
      <c r="B200" s="27" t="n">
        <f aca="false">E32</f>
        <v>14.924462762847</v>
      </c>
      <c r="C200" s="27" t="n">
        <f aca="false">$B200*$C$72</f>
        <v>5.92464475562769</v>
      </c>
      <c r="D200" s="27" t="n">
        <f aca="false">$B200*$D$72</f>
        <v>6.94532468125909</v>
      </c>
      <c r="E200" s="27" t="n">
        <f aca="false">$B200*$E$72</f>
        <v>1.21129440158058</v>
      </c>
      <c r="F200" s="27" t="n">
        <f aca="false">$B200*$F$72</f>
        <v>0.819976553210127</v>
      </c>
      <c r="G200" s="27" t="n">
        <f aca="false">$B200*$G$72</f>
        <v>0.0116111855847526</v>
      </c>
      <c r="H200" s="27" t="n">
        <f aca="false">$B200*$H$72</f>
        <v>0.0116111855847526</v>
      </c>
    </row>
    <row r="201" customFormat="false" ht="15" hidden="false" customHeight="true" outlineLevel="0" collapsed="false">
      <c r="A201" s="5" t="n">
        <v>2025</v>
      </c>
      <c r="B201" s="27" t="n">
        <f aca="false">E33</f>
        <v>15.5115859830352</v>
      </c>
      <c r="C201" s="27" t="n">
        <f aca="false">$B201*$C$72</f>
        <v>6.15771823791441</v>
      </c>
      <c r="D201" s="27" t="n">
        <f aca="false">$B201*$D$72</f>
        <v>7.2185513599617</v>
      </c>
      <c r="E201" s="27" t="n">
        <f aca="false">$B201*$E$72</f>
        <v>1.25894630576988</v>
      </c>
      <c r="F201" s="27" t="n">
        <f aca="false">$B201*$F$72</f>
        <v>0.852234148143327</v>
      </c>
      <c r="G201" s="27" t="n">
        <f aca="false">$B201*$G$72</f>
        <v>0.0120679656229389</v>
      </c>
      <c r="H201" s="27" t="n">
        <f aca="false">$B201*$H$72</f>
        <v>0.0120679656229389</v>
      </c>
    </row>
    <row r="202" customFormat="false" ht="15" hidden="false" customHeight="true" outlineLevel="0" collapsed="false">
      <c r="A202" s="5" t="n">
        <v>2026</v>
      </c>
      <c r="B202" s="27" t="n">
        <f aca="false">E34</f>
        <v>16.1186220915398</v>
      </c>
      <c r="C202" s="27" t="n">
        <f aca="false">$B202*$C$72</f>
        <v>6.39869664724661</v>
      </c>
      <c r="D202" s="27" t="n">
        <f aca="false">$B202*$D$72</f>
        <v>7.50104480269439</v>
      </c>
      <c r="E202" s="27" t="n">
        <f aca="false">$B202*$E$72</f>
        <v>1.30821437333606</v>
      </c>
      <c r="F202" s="27" t="n">
        <f aca="false">$B202*$F$72</f>
        <v>0.885585792610209</v>
      </c>
      <c r="G202" s="27" t="n">
        <f aca="false">$B202*$G$72</f>
        <v>0.0125402378262667</v>
      </c>
      <c r="H202" s="27" t="n">
        <f aca="false">$B202*$H$72</f>
        <v>0.0125402378262667</v>
      </c>
    </row>
    <row r="203" customFormat="false" ht="15" hidden="false" customHeight="true" outlineLevel="0" collapsed="false">
      <c r="A203" s="5" t="n">
        <v>2027</v>
      </c>
      <c r="B203" s="27" t="n">
        <f aca="false">E35</f>
        <v>16.7461053396325</v>
      </c>
      <c r="C203" s="27" t="n">
        <f aca="false">$B203*$C$72</f>
        <v>6.64779206824303</v>
      </c>
      <c r="D203" s="27" t="n">
        <f aca="false">$B203*$D$72</f>
        <v>7.79305363137425</v>
      </c>
      <c r="E203" s="27" t="n">
        <f aca="false">$B203*$E$72</f>
        <v>1.35914196500739</v>
      </c>
      <c r="F203" s="27" t="n">
        <f aca="false">$B203*$F$72</f>
        <v>0.920060839326733</v>
      </c>
      <c r="G203" s="27" t="n">
        <f aca="false">$B203*$G$72</f>
        <v>0.0130284178405627</v>
      </c>
      <c r="H203" s="27" t="n">
        <f aca="false">$B203*$H$72</f>
        <v>0.0130284178405627</v>
      </c>
    </row>
    <row r="204" customFormat="false" ht="15" hidden="false" customHeight="true" outlineLevel="0" collapsed="false">
      <c r="A204" s="5" t="n">
        <v>2028</v>
      </c>
      <c r="B204" s="27" t="n">
        <f aca="false">E36</f>
        <v>17.3945781696059</v>
      </c>
      <c r="C204" s="27" t="n">
        <f aca="false">$B204*$C$72</f>
        <v>6.90521983715628</v>
      </c>
      <c r="D204" s="27" t="n">
        <f aca="false">$B204*$D$72</f>
        <v>8.09483027973385</v>
      </c>
      <c r="E204" s="27" t="n">
        <f aca="false">$B204*$E$72</f>
        <v>1.41177310630913</v>
      </c>
      <c r="F204" s="27" t="n">
        <f aca="false">$B204*$F$72</f>
        <v>0.955689091038121</v>
      </c>
      <c r="G204" s="27" t="n">
        <f aca="false">$B204*$G$72</f>
        <v>0.0135329276842426</v>
      </c>
      <c r="H204" s="27" t="n">
        <f aca="false">$B204*$H$72</f>
        <v>0.0135329276842426</v>
      </c>
    </row>
    <row r="205" customFormat="false" ht="15" hidden="false" customHeight="true" outlineLevel="0" collapsed="false">
      <c r="A205" s="5" t="n">
        <v>2029</v>
      </c>
      <c r="B205" s="27" t="n">
        <f aca="false">E37</f>
        <v>18.0645914398228</v>
      </c>
      <c r="C205" s="27" t="n">
        <f aca="false">$B205*$C$72</f>
        <v>7.17119863121203</v>
      </c>
      <c r="D205" s="27" t="n">
        <f aca="false">$B205*$D$72</f>
        <v>8.40663109805164</v>
      </c>
      <c r="E205" s="27" t="n">
        <f aca="false">$B205*$E$72</f>
        <v>1.46615250582888</v>
      </c>
      <c r="F205" s="27" t="n">
        <f aca="false">$B205*$F$72</f>
        <v>0.992500812883495</v>
      </c>
      <c r="G205" s="27" t="n">
        <f aca="false">$B205*$G$72</f>
        <v>0.0140541959233985</v>
      </c>
      <c r="H205" s="27" t="n">
        <f aca="false">$B205*$H$72</f>
        <v>0.0140541959233985</v>
      </c>
    </row>
    <row r="206" customFormat="false" ht="15" hidden="false" customHeight="true" outlineLevel="0" collapsed="false">
      <c r="A206" s="5" t="n">
        <v>2030</v>
      </c>
      <c r="B206" s="27" t="n">
        <f aca="false">E38</f>
        <v>18.7567041871019</v>
      </c>
      <c r="C206" s="27" t="n">
        <f aca="false">$B206*$C$72</f>
        <v>7.44595037428165</v>
      </c>
      <c r="D206" s="27" t="n">
        <f aca="false">$B206*$D$72</f>
        <v>8.72871624257407</v>
      </c>
      <c r="E206" s="27" t="n">
        <f aca="false">$B206*$E$72</f>
        <v>1.52232553593142</v>
      </c>
      <c r="F206" s="27" t="n">
        <f aca="false">$B206*$F$72</f>
        <v>1.03052671934087</v>
      </c>
      <c r="G206" s="27" t="n">
        <f aca="false">$B206*$G$72</f>
        <v>0.0145926574869353</v>
      </c>
      <c r="H206" s="27" t="n">
        <f aca="false">$B206*$H$72</f>
        <v>0.0145926574869353</v>
      </c>
    </row>
    <row r="207" customFormat="false" ht="15" hidden="false" customHeight="true" outlineLevel="0" collapsed="false">
      <c r="A207" s="5" t="n">
        <v>2031</v>
      </c>
      <c r="B207" s="27" t="n">
        <f aca="false">E39</f>
        <v>19.4714836246609</v>
      </c>
      <c r="C207" s="27" t="n">
        <f aca="false">$B207*$C$72</f>
        <v>7.72970023606606</v>
      </c>
      <c r="D207" s="27" t="n">
        <f aca="false">$B207*$D$72</f>
        <v>9.06134967455886</v>
      </c>
      <c r="E207" s="27" t="n">
        <f aca="false">$B207*$E$72</f>
        <v>1.5803382325918</v>
      </c>
      <c r="F207" s="27" t="n">
        <f aca="false">$B207*$F$72</f>
        <v>1.06979797411422</v>
      </c>
      <c r="G207" s="27" t="n">
        <f aca="false">$B207*$G$72</f>
        <v>0.0151487536649715</v>
      </c>
      <c r="H207" s="27" t="n">
        <f aca="false">$B207*$H$72</f>
        <v>0.0151487536649715</v>
      </c>
    </row>
    <row r="208" customFormat="false" ht="15" hidden="false" customHeight="true" outlineLevel="0" collapsed="false">
      <c r="A208" s="5" t="n">
        <v>2032</v>
      </c>
      <c r="B208" s="27" t="n">
        <f aca="false">E40</f>
        <v>20.2095045824005</v>
      </c>
      <c r="C208" s="27" t="n">
        <f aca="false">$B208*$C$72</f>
        <v>8.02267640990199</v>
      </c>
      <c r="D208" s="27" t="n">
        <f aca="false">$B208*$D$72</f>
        <v>9.4047988998024</v>
      </c>
      <c r="E208" s="27" t="n">
        <f aca="false">$B208*$E$72</f>
        <v>1.64023724996779</v>
      </c>
      <c r="F208" s="27" t="n">
        <f aca="false">$B208*$F$72</f>
        <v>1.11034615938161</v>
      </c>
      <c r="G208" s="27" t="n">
        <f aca="false">$B208*$G$72</f>
        <v>0.0157229316733809</v>
      </c>
      <c r="H208" s="27" t="n">
        <f aca="false">$B208*$H$72</f>
        <v>0.0157229316733809</v>
      </c>
    </row>
    <row r="209" customFormat="false" ht="15" hidden="false" customHeight="true" outlineLevel="0" collapsed="false">
      <c r="A209" s="5" t="n">
        <v>2033</v>
      </c>
      <c r="B209" s="27" t="n">
        <f aca="false">E41</f>
        <v>20.9713497337256</v>
      </c>
      <c r="C209" s="27" t="n">
        <f aca="false">$B209*$C$72</f>
        <v>8.32511020280439</v>
      </c>
      <c r="D209" s="27" t="n">
        <f aca="false">$B209*$D$72</f>
        <v>9.7593350741944</v>
      </c>
      <c r="E209" s="27" t="n">
        <f aca="false">$B209*$E$72</f>
        <v>1.70206987880912</v>
      </c>
      <c r="F209" s="27" t="n">
        <f aca="false">$B209*$F$72</f>
        <v>1.1522032882572</v>
      </c>
      <c r="G209" s="27" t="n">
        <f aca="false">$B209*$G$72</f>
        <v>0.0163156448302592</v>
      </c>
      <c r="H209" s="27" t="n">
        <f aca="false">$B209*$H$72</f>
        <v>0.0163156448302592</v>
      </c>
    </row>
    <row r="210" customFormat="false" ht="15" hidden="false" customHeight="true" outlineLevel="0" collapsed="false">
      <c r="A210" s="5" t="n">
        <v>2034</v>
      </c>
      <c r="B210" s="27" t="n">
        <f aca="false">E42</f>
        <v>21.7576092840895</v>
      </c>
      <c r="C210" s="27" t="n">
        <f aca="false">$B210*$C$72</f>
        <v>8.63723591182637</v>
      </c>
      <c r="D210" s="27" t="n">
        <f aca="false">$B210*$D$72</f>
        <v>10.1252328587775</v>
      </c>
      <c r="E210" s="27" t="n">
        <f aca="false">$B210*$E$72</f>
        <v>1.76588402117919</v>
      </c>
      <c r="F210" s="27" t="n">
        <f aca="false">$B210*$F$72</f>
        <v>1.1954017876793</v>
      </c>
      <c r="G210" s="27" t="n">
        <f aca="false">$B210*$G$72</f>
        <v>0.0169273523136124</v>
      </c>
      <c r="H210" s="27" t="n">
        <f aca="false">$B210*$H$72</f>
        <v>0.0169273523136124</v>
      </c>
    </row>
    <row r="211" customFormat="false" ht="15" hidden="false" customHeight="true" outlineLevel="0" collapsed="false">
      <c r="A211" s="5" t="n">
        <v>2035</v>
      </c>
      <c r="B211" s="27" t="n">
        <f aca="false">E43</f>
        <v>22.5688807733778</v>
      </c>
      <c r="C211" s="27" t="n">
        <f aca="false">$B211*$C$72</f>
        <v>8.95929074561023</v>
      </c>
      <c r="D211" s="27" t="n">
        <f aca="false">$B211*$D$72</f>
        <v>10.5027703277832</v>
      </c>
      <c r="E211" s="27" t="n">
        <f aca="false">$B211*$E$72</f>
        <v>1.83172817441619</v>
      </c>
      <c r="F211" s="27" t="n">
        <f aca="false">$B211*$F$72</f>
        <v>1.23997448755297</v>
      </c>
      <c r="G211" s="27" t="n">
        <f aca="false">$B211*$G$72</f>
        <v>0.0175585190076119</v>
      </c>
      <c r="H211" s="27" t="n">
        <f aca="false">$B211*$H$72</f>
        <v>0.0175585190076119</v>
      </c>
    </row>
    <row r="212" customFormat="false" ht="15" hidden="false" customHeight="true" outlineLevel="0" collapsed="false">
      <c r="A212" s="5" t="n">
        <v>2036</v>
      </c>
      <c r="B212" s="27" t="n">
        <f aca="false">E44</f>
        <v>23.405769030023</v>
      </c>
      <c r="C212" s="27" t="n">
        <f aca="false">$B212*$C$72</f>
        <v>9.29151480617223</v>
      </c>
      <c r="D212" s="27" t="n">
        <f aca="false">$B212*$D$72</f>
        <v>10.8922289472789</v>
      </c>
      <c r="E212" s="27" t="n">
        <f aca="false">$B212*$E$72</f>
        <v>1.89965142740902</v>
      </c>
      <c r="F212" s="27" t="n">
        <f aca="false">$B212*$F$72</f>
        <v>1.28595461822905</v>
      </c>
      <c r="G212" s="27" t="n">
        <f aca="false">$B212*$G$72</f>
        <v>0.018209615466896</v>
      </c>
      <c r="H212" s="27" t="n">
        <f aca="false">$B212*$H$72</f>
        <v>0.018209615466896</v>
      </c>
    </row>
    <row r="213" customFormat="false" ht="15" hidden="false" customHeight="true" outlineLevel="0" collapsed="false">
      <c r="A213" s="5" t="n">
        <v>2037</v>
      </c>
      <c r="B213" s="27" t="n">
        <f aca="false">E45</f>
        <v>24.2688854549214</v>
      </c>
      <c r="C213" s="27" t="n">
        <f aca="false">$B213*$C$72</f>
        <v>9.6341508046351</v>
      </c>
      <c r="D213" s="27" t="n">
        <f aca="false">$B213*$D$72</f>
        <v>11.2938932419274</v>
      </c>
      <c r="E213" s="27" t="n">
        <f aca="false">$B213*$E$72</f>
        <v>1.96970340247872</v>
      </c>
      <c r="F213" s="27" t="n">
        <f aca="false">$B213*$F$72</f>
        <v>1.3333757711612</v>
      </c>
      <c r="G213" s="27" t="n">
        <f aca="false">$B213*$G$72</f>
        <v>0.0188811173594594</v>
      </c>
      <c r="H213" s="27" t="n">
        <f aca="false">$B213*$H$72</f>
        <v>0.0188811173594594</v>
      </c>
    </row>
    <row r="214" customFormat="false" ht="15" hidden="false" customHeight="true" outlineLevel="0" collapsed="false">
      <c r="A214" s="5" t="n">
        <v>2038</v>
      </c>
      <c r="B214" s="27" t="n">
        <f aca="false">E46</f>
        <v>25.1588482539921</v>
      </c>
      <c r="C214" s="27" t="n">
        <f aca="false">$B214*$C$72</f>
        <v>9.98744415354844</v>
      </c>
      <c r="D214" s="27" t="n">
        <f aca="false">$B214*$D$72</f>
        <v>11.708050903212</v>
      </c>
      <c r="E214" s="27" t="n">
        <f aca="false">$B214*$E$72</f>
        <v>2.04193427425341</v>
      </c>
      <c r="F214" s="27" t="n">
        <f aca="false">$B214*$F$72</f>
        <v>1.38227191168319</v>
      </c>
      <c r="G214" s="27" t="n">
        <f aca="false">$B214*$G$72</f>
        <v>0.0195735056475833</v>
      </c>
      <c r="H214" s="27" t="n">
        <f aca="false">$B214*$H$72</f>
        <v>0.0195735056475833</v>
      </c>
    </row>
    <row r="215" customFormat="false" ht="15" hidden="false" customHeight="true" outlineLevel="0" collapsed="false">
      <c r="A215" s="5" t="n">
        <v>2039</v>
      </c>
      <c r="B215" s="27" t="n">
        <f aca="false">E47</f>
        <v>26.07628202348</v>
      </c>
      <c r="C215" s="27" t="n">
        <f aca="false">$B215*$C$72</f>
        <v>10.3516428022638</v>
      </c>
      <c r="D215" s="27" t="n">
        <f aca="false">$B215*$D$72</f>
        <v>12.1349925964504</v>
      </c>
      <c r="E215" s="27" t="n">
        <f aca="false">$B215*$E$72</f>
        <v>2.11639473601074</v>
      </c>
      <c r="F215" s="27" t="n">
        <f aca="false">$B215*$F$72</f>
        <v>1.43267735622461</v>
      </c>
      <c r="G215" s="27" t="n">
        <f aca="false">$B215*$G$72</f>
        <v>0.0202872662652024</v>
      </c>
      <c r="H215" s="27" t="n">
        <f aca="false">$B215*$H$72</f>
        <v>0.0202872662652024</v>
      </c>
    </row>
    <row r="216" customFormat="false" ht="15" hidden="false" customHeight="true" outlineLevel="0" collapsed="false">
      <c r="A216" s="5" t="n">
        <v>2040</v>
      </c>
      <c r="B216" s="27" t="n">
        <f aca="false">E48</f>
        <v>27.0218176667417</v>
      </c>
      <c r="C216" s="27" t="n">
        <f aca="false">$B216*$C$72</f>
        <v>10.7269972039013</v>
      </c>
      <c r="D216" s="27" t="n">
        <f aca="false">$B216*$D$72</f>
        <v>12.5750119220709</v>
      </c>
      <c r="E216" s="27" t="n">
        <f aca="false">$B216*$E$72</f>
        <v>2.19313599292412</v>
      </c>
      <c r="F216" s="27" t="n">
        <f aca="false">$B216*$F$72</f>
        <v>1.48462676773905</v>
      </c>
      <c r="G216" s="27" t="n">
        <f aca="false">$B216*$G$72</f>
        <v>0.0210228900531648</v>
      </c>
      <c r="H216" s="27" t="n">
        <f aca="false">$B216*$H$72</f>
        <v>0.0210228900531648</v>
      </c>
    </row>
    <row r="217" customFormat="false" ht="15" hidden="false" customHeight="true" outlineLevel="0" collapsed="false">
      <c r="A217" s="5" t="n">
        <v>2041</v>
      </c>
      <c r="B217" s="27" t="n">
        <f aca="false">E49</f>
        <v>27.9960915376155</v>
      </c>
      <c r="C217" s="27" t="n">
        <f aca="false">$B217*$C$72</f>
        <v>11.1137599752881</v>
      </c>
      <c r="D217" s="27" t="n">
        <f aca="false">$B217*$D$72</f>
        <v>13.0284050169655</v>
      </c>
      <c r="E217" s="27" t="n">
        <f aca="false">$B217*$E$72</f>
        <v>2.27220969253718</v>
      </c>
      <c r="F217" s="27" t="n">
        <f aca="false">$B217*$F$72</f>
        <v>1.53815510863924</v>
      </c>
      <c r="G217" s="27" t="n">
        <f aca="false">$B217*$G$72</f>
        <v>0.0217808720927765</v>
      </c>
      <c r="H217" s="27" t="n">
        <f aca="false">$B217*$H$72</f>
        <v>0.0217808720927765</v>
      </c>
    </row>
    <row r="218" customFormat="false" ht="15" hidden="false" customHeight="true" outlineLevel="0" collapsed="false">
      <c r="A218" s="5" t="n">
        <v>2042</v>
      </c>
      <c r="B218" s="27" t="n">
        <f aca="false">E50</f>
        <v>28.9997456821243</v>
      </c>
      <c r="C218" s="27" t="n">
        <f aca="false">$B218*$C$72</f>
        <v>11.5121859929087</v>
      </c>
      <c r="D218" s="27" t="n">
        <f aca="false">$B218*$D$72</f>
        <v>13.4954706669705</v>
      </c>
      <c r="E218" s="27" t="n">
        <f aca="false">$B218*$E$72</f>
        <v>2.35366794438079</v>
      </c>
      <c r="F218" s="27" t="n">
        <f aca="false">$B218*$F$72</f>
        <v>1.59329765407666</v>
      </c>
      <c r="G218" s="27" t="n">
        <f aca="false">$B218*$G$72</f>
        <v>0.0225617118938451</v>
      </c>
      <c r="H218" s="27" t="n">
        <f aca="false">$B218*$H$72</f>
        <v>0.0225617118938451</v>
      </c>
    </row>
    <row r="219" customFormat="false" ht="15" hidden="false" customHeight="true" outlineLevel="0" collapsed="false">
      <c r="A219" s="5" t="n">
        <v>2043</v>
      </c>
      <c r="B219" s="27" t="n">
        <f aca="false">E51</f>
        <v>30.033427332897</v>
      </c>
      <c r="C219" s="27" t="n">
        <f aca="false">$B219*$C$72</f>
        <v>11.9225321922027</v>
      </c>
      <c r="D219" s="27" t="n">
        <f aca="false">$B219*$D$72</f>
        <v>13.976510071588</v>
      </c>
      <c r="E219" s="27" t="n">
        <f aca="false">$B219*$E$72</f>
        <v>2.43756327893947</v>
      </c>
      <c r="F219" s="27" t="n">
        <f aca="false">$B219*$F$72</f>
        <v>1.65008996416417</v>
      </c>
      <c r="G219" s="27" t="n">
        <f aca="false">$B219*$G$72</f>
        <v>0.0233659130013419</v>
      </c>
      <c r="H219" s="27" t="n">
        <f aca="false">$B219*$H$72</f>
        <v>0.0233659130013419</v>
      </c>
    </row>
    <row r="220" customFormat="false" ht="15" hidden="false" customHeight="true" outlineLevel="0" collapsed="false">
      <c r="A220" s="5" t="n">
        <v>2044</v>
      </c>
      <c r="B220" s="27" t="n">
        <f aca="false">E52</f>
        <v>31.0977885657615</v>
      </c>
      <c r="C220" s="27" t="n">
        <f aca="false">$B220*$C$72</f>
        <v>12.3450574312406</v>
      </c>
      <c r="D220" s="27" t="n">
        <f aca="false">$B220*$D$72</f>
        <v>14.471826684176</v>
      </c>
      <c r="E220" s="27" t="n">
        <f aca="false">$B220*$E$72</f>
        <v>2.52394861977986</v>
      </c>
      <c r="F220" s="27" t="n">
        <f aca="false">$B220*$F$72</f>
        <v>1.70856786510861</v>
      </c>
      <c r="G220" s="27" t="n">
        <f aca="false">$B220*$G$72</f>
        <v>0.0241939827282316</v>
      </c>
      <c r="H220" s="27" t="n">
        <f aca="false">$B220*$H$72</f>
        <v>0.0241939827282316</v>
      </c>
    </row>
    <row r="221" customFormat="false" ht="15" hidden="false" customHeight="true" outlineLevel="0" collapsed="false">
      <c r="A221" s="5" t="n">
        <v>2045</v>
      </c>
      <c r="B221" s="27" t="n">
        <f aca="false">E53</f>
        <v>32.1934861687361</v>
      </c>
      <c r="C221" s="27" t="n">
        <f aca="false">$B221*$C$72</f>
        <v>12.7800224387166</v>
      </c>
      <c r="D221" s="27" t="n">
        <f aca="false">$B221*$D$72</f>
        <v>14.9817261509816</v>
      </c>
      <c r="E221" s="27" t="n">
        <f aca="false">$B221*$E$72</f>
        <v>2.61287727291787</v>
      </c>
      <c r="F221" s="27" t="n">
        <f aca="false">$B221*$F$72</f>
        <v>1.76876744201293</v>
      </c>
      <c r="G221" s="27" t="n">
        <f aca="false">$B221*$G$72</f>
        <v>0.0250464320535485</v>
      </c>
      <c r="H221" s="27" t="n">
        <f aca="false">$B221*$H$72</f>
        <v>0.0250464320535485</v>
      </c>
    </row>
    <row r="222" customFormat="false" ht="15" hidden="false" customHeight="true" outlineLevel="0" collapsed="false">
      <c r="A222" s="5" t="n">
        <v>2046</v>
      </c>
      <c r="B222" s="27" t="n">
        <f aca="false">E54</f>
        <v>33.3211805902703</v>
      </c>
      <c r="C222" s="27" t="n">
        <f aca="false">$B222*$C$72</f>
        <v>13.2276893964262</v>
      </c>
      <c r="D222" s="27" t="n">
        <f aca="false">$B222*$D$72</f>
        <v>15.5065158216891</v>
      </c>
      <c r="E222" s="27" t="n">
        <f aca="false">$B222*$E$72</f>
        <v>2.70440284145616</v>
      </c>
      <c r="F222" s="27" t="n">
        <f aca="false">$B222*$F$72</f>
        <v>1.83072498109071</v>
      </c>
      <c r="G222" s="27" t="n">
        <f aca="false">$B222*$G$72</f>
        <v>0.0259237748041311</v>
      </c>
      <c r="H222" s="27" t="n">
        <f aca="false">$B222*$H$72</f>
        <v>0.0259237748041311</v>
      </c>
    </row>
    <row r="223" customFormat="false" ht="15" hidden="false" customHeight="true" outlineLevel="0" collapsed="false">
      <c r="A223" s="5" t="n">
        <v>2047</v>
      </c>
      <c r="B223" s="27" t="n">
        <f aca="false">E55</f>
        <v>34.4815362008992</v>
      </c>
      <c r="C223" s="27" t="n">
        <f aca="false">$B223*$C$72</f>
        <v>13.6883220431362</v>
      </c>
      <c r="D223" s="27" t="n">
        <f aca="false">$B223*$D$72</f>
        <v>16.0465048711844</v>
      </c>
      <c r="E223" s="27" t="n">
        <f aca="false">$B223*$E$72</f>
        <v>2.79857924682039</v>
      </c>
      <c r="F223" s="27" t="n">
        <f aca="false">$B223*$F$72</f>
        <v>1.89447698404187</v>
      </c>
      <c r="G223" s="27" t="n">
        <f aca="false">$B223*$G$72</f>
        <v>0.0268265278581881</v>
      </c>
      <c r="H223" s="27" t="n">
        <f aca="false">$B223*$H$72</f>
        <v>0.0268265278581881</v>
      </c>
    </row>
    <row r="224" customFormat="false" ht="15" hidden="false" customHeight="true" outlineLevel="0" collapsed="false">
      <c r="A224" s="5" t="n">
        <v>2048</v>
      </c>
      <c r="B224" s="27" t="n">
        <f aca="false">E56</f>
        <v>35.6752206647341</v>
      </c>
      <c r="C224" s="27" t="n">
        <f aca="false">$B224*$C$72</f>
        <v>14.1621854250825</v>
      </c>
      <c r="D224" s="27" t="n">
        <f aca="false">$B224*$D$72</f>
        <v>16.6020040070693</v>
      </c>
      <c r="E224" s="27" t="n">
        <f aca="false">$B224*$E$72</f>
        <v>2.89546067774844</v>
      </c>
      <c r="F224" s="27" t="n">
        <f aca="false">$B224*$F$72</f>
        <v>1.96006013352129</v>
      </c>
      <c r="G224" s="27" t="n">
        <f aca="false">$B224*$G$72</f>
        <v>0.0277552106563205</v>
      </c>
      <c r="H224" s="27" t="n">
        <f aca="false">$B224*$H$72</f>
        <v>0.0277552106563205</v>
      </c>
    </row>
    <row r="225" customFormat="false" ht="15" hidden="false" customHeight="true" outlineLevel="0" collapsed="false">
      <c r="A225" s="5" t="n">
        <v>2049</v>
      </c>
      <c r="B225" s="27" t="n">
        <f aca="false">E57</f>
        <v>36.9029047709068</v>
      </c>
      <c r="C225" s="27" t="n">
        <f aca="false">$B225*$C$72</f>
        <v>14.649545829057</v>
      </c>
      <c r="D225" s="27" t="n">
        <f aca="false">$B225*$D$72</f>
        <v>17.173325391221</v>
      </c>
      <c r="E225" s="27" t="n">
        <f aca="false">$B225*$E$72</f>
        <v>2.99510157661003</v>
      </c>
      <c r="F225" s="27" t="n">
        <f aca="false">$B225*$F$72</f>
        <v>2.02751128387803</v>
      </c>
      <c r="G225" s="27" t="n">
        <f aca="false">$B225*$G$72</f>
        <v>0.0287103450703852</v>
      </c>
      <c r="H225" s="27" t="n">
        <f aca="false">$B225*$H$72</f>
        <v>0.0287103450703852</v>
      </c>
    </row>
    <row r="226" customFormat="false" ht="15" hidden="false" customHeight="true" outlineLevel="0" collapsed="false">
      <c r="A226" s="5" t="n">
        <v>2050</v>
      </c>
      <c r="B226" s="27" t="n">
        <f aca="false">E58</f>
        <v>38.165261210337</v>
      </c>
      <c r="C226" s="27" t="n">
        <f aca="false">$B226*$C$72</f>
        <v>15.1506702968148</v>
      </c>
      <c r="D226" s="27" t="n">
        <f aca="false">$B226*$D$72</f>
        <v>17.7607820705426</v>
      </c>
      <c r="E226" s="27" t="n">
        <f aca="false">$B226*$E$72</f>
        <v>3.09755654012721</v>
      </c>
      <c r="F226" s="27" t="n">
        <f aca="false">$B226*$F$72</f>
        <v>2.09686739394876</v>
      </c>
      <c r="G226" s="27" t="n">
        <f aca="false">$B226*$G$72</f>
        <v>0.0296924544518244</v>
      </c>
      <c r="H226" s="27" t="n">
        <f aca="false">$B226*$H$72</f>
        <v>0.0296924544518244</v>
      </c>
    </row>
    <row r="227" customFormat="false" ht="15" hidden="false" customHeight="true" outlineLevel="0" collapsed="false">
      <c r="A227" s="5" t="n">
        <v>2051</v>
      </c>
      <c r="B227" s="27" t="n">
        <f aca="false">E59</f>
        <v>39.4629648626403</v>
      </c>
      <c r="C227" s="27" t="n">
        <f aca="false">$B227*$C$72</f>
        <v>15.6658267389694</v>
      </c>
      <c r="D227" s="27" t="n">
        <f aca="false">$B227*$D$72</f>
        <v>18.3646881104799</v>
      </c>
      <c r="E227" s="27" t="n">
        <f aca="false">$B227*$E$72</f>
        <v>3.20288034266024</v>
      </c>
      <c r="F227" s="27" t="n">
        <f aca="false">$B227*$F$72</f>
        <v>2.16816554282101</v>
      </c>
      <c r="G227" s="27" t="n">
        <f aca="false">$B227*$G$72</f>
        <v>0.0307020638548787</v>
      </c>
      <c r="H227" s="27" t="n">
        <f aca="false">$B227*$H$72</f>
        <v>0.0307020638548787</v>
      </c>
    </row>
    <row r="228" customFormat="false" ht="15" hidden="false" customHeight="true" outlineLevel="0" collapsed="false">
      <c r="A228" s="5" t="n">
        <v>2052</v>
      </c>
      <c r="B228" s="27" t="n">
        <f aca="false">E60</f>
        <v>40.7966920628902</v>
      </c>
      <c r="C228" s="27" t="n">
        <f aca="false">$B228*$C$72</f>
        <v>16.1952836439154</v>
      </c>
      <c r="D228" s="27" t="n">
        <f aca="false">$B228*$D$72</f>
        <v>18.985358253798</v>
      </c>
      <c r="E228" s="27" t="n">
        <f aca="false">$B228*$E$72</f>
        <v>3.31112787669679</v>
      </c>
      <c r="F228" s="27" t="n">
        <f aca="false">$B228*$F$72</f>
        <v>2.24144288954776</v>
      </c>
      <c r="G228" s="27" t="n">
        <f aca="false">$B228*$G$72</f>
        <v>0.0317396994661307</v>
      </c>
      <c r="H228" s="27" t="n">
        <f aca="false">$B228*$H$72</f>
        <v>0.0317396994661307</v>
      </c>
    </row>
    <row r="229" customFormat="false" ht="15" hidden="false" customHeight="true" outlineLevel="0" collapsed="false">
      <c r="A229" s="5" t="n">
        <v>2053</v>
      </c>
      <c r="B229" s="27" t="n">
        <f aca="false">E61</f>
        <v>42.1671200963316</v>
      </c>
      <c r="C229" s="27" t="n">
        <f aca="false">$B229*$C$72</f>
        <v>16.7393098772419</v>
      </c>
      <c r="D229" s="27" t="n">
        <f aca="false">$B229*$D$72</f>
        <v>19.6231076854388</v>
      </c>
      <c r="E229" s="27" t="n">
        <f aca="false">$B229*$E$72</f>
        <v>3.42235411184202</v>
      </c>
      <c r="F229" s="27" t="n">
        <f aca="false">$B229*$F$72</f>
        <v>2.31673664538607</v>
      </c>
      <c r="G229" s="27" t="n">
        <f aca="false">$B229*$G$72</f>
        <v>0.0328058882113931</v>
      </c>
      <c r="H229" s="27" t="n">
        <f aca="false">$B229*$H$72</f>
        <v>0.0328058882113931</v>
      </c>
    </row>
    <row r="230" customFormat="false" ht="15" hidden="false" customHeight="true" outlineLevel="0" collapsed="false">
      <c r="A230" s="5" t="n">
        <v>2054</v>
      </c>
      <c r="B230" s="27" t="n">
        <f aca="false">E62</f>
        <v>43.5749269863578</v>
      </c>
      <c r="C230" s="27" t="n">
        <f aca="false">$B230*$C$72</f>
        <v>17.298174597565</v>
      </c>
      <c r="D230" s="27" t="n">
        <f aca="false">$B230*$D$72</f>
        <v>20.2782519338527</v>
      </c>
      <c r="E230" s="27" t="n">
        <f aca="false">$B230*$E$72</f>
        <v>3.53661407761047</v>
      </c>
      <c r="F230" s="27" t="n">
        <f aca="false">$B230*$F$72</f>
        <v>2.39408406214823</v>
      </c>
      <c r="G230" s="27" t="n">
        <f aca="false">$B230*$G$72</f>
        <v>0.033901157590756</v>
      </c>
      <c r="H230" s="27" t="n">
        <f aca="false">$B230*$H$72</f>
        <v>0.033901157590756</v>
      </c>
    </row>
    <row r="231" customFormat="false" ht="15" hidden="false" customHeight="true" outlineLevel="0" collapsed="false">
      <c r="A231" s="5" t="n">
        <v>2055</v>
      </c>
      <c r="B231" s="27" t="n">
        <f aca="false">E63</f>
        <v>45.0207900383723</v>
      </c>
      <c r="C231" s="27" t="n">
        <f aca="false">$B231*$C$72</f>
        <v>17.8721466784762</v>
      </c>
      <c r="D231" s="27" t="n">
        <f aca="false">$B231*$D$72</f>
        <v>20.9511061933624</v>
      </c>
      <c r="E231" s="27" t="n">
        <f aca="false">$B231*$E$72</f>
        <v>3.65396274524339</v>
      </c>
      <c r="F231" s="27" t="n">
        <f aca="false">$B231*$F$72</f>
        <v>2.47352235219884</v>
      </c>
      <c r="G231" s="27" t="n">
        <f aca="false">$B231*$G$72</f>
        <v>0.0350260345457154</v>
      </c>
      <c r="H231" s="27" t="n">
        <f aca="false">$B231*$H$72</f>
        <v>0.0350260345457154</v>
      </c>
    </row>
    <row r="232" customFormat="false" ht="15" hidden="false" customHeight="true" outlineLevel="0" collapsed="false">
      <c r="A232" s="5" t="n">
        <v>2056</v>
      </c>
      <c r="B232" s="27" t="n">
        <f aca="false">E64</f>
        <v>46.5053861737077</v>
      </c>
      <c r="C232" s="27" t="n">
        <f aca="false">$B232*$C$72</f>
        <v>18.4614948411006</v>
      </c>
      <c r="D232" s="27" t="n">
        <f aca="false">$B232*$D$72</f>
        <v>21.6419854795579</v>
      </c>
      <c r="E232" s="27" t="n">
        <f aca="false">$B232*$E$72</f>
        <v>3.77445505481025</v>
      </c>
      <c r="F232" s="27" t="n">
        <f aca="false">$B232*$F$72</f>
        <v>2.55508870680103</v>
      </c>
      <c r="G232" s="27" t="n">
        <f aca="false">$B232*$G$72</f>
        <v>0.0361810457189617</v>
      </c>
      <c r="H232" s="27" t="n">
        <f aca="false">$B232*$H$72</f>
        <v>0.0361810457189617</v>
      </c>
    </row>
    <row r="233" customFormat="false" ht="15" hidden="false" customHeight="true" outlineLevel="0" collapsed="false">
      <c r="A233" s="5" t="n">
        <v>2057</v>
      </c>
      <c r="B233" s="27" t="n">
        <f aca="false">E65</f>
        <v>48.0293910593714</v>
      </c>
      <c r="C233" s="27" t="n">
        <f aca="false">$B233*$C$72</f>
        <v>19.0664873086269</v>
      </c>
      <c r="D233" s="27" t="n">
        <f aca="false">$B233*$D$72</f>
        <v>22.3512042243096</v>
      </c>
      <c r="E233" s="27" t="n">
        <f aca="false">$B233*$E$72</f>
        <v>3.89814584457732</v>
      </c>
      <c r="F233" s="27" t="n">
        <f aca="false">$B233*$F$72</f>
        <v>2.63882024830299</v>
      </c>
      <c r="G233" s="27" t="n">
        <f aca="false">$B233*$G$72</f>
        <v>0.0373667167773238</v>
      </c>
      <c r="H233" s="27" t="n">
        <f aca="false">$B233*$H$72</f>
        <v>0.0373667167773238</v>
      </c>
    </row>
    <row r="234" customFormat="false" ht="15" hidden="false" customHeight="true" outlineLevel="0" collapsed="false">
      <c r="A234" s="5" t="n">
        <v>2058</v>
      </c>
      <c r="B234" s="27" t="n">
        <f aca="false">E66</f>
        <v>49.5934788662941</v>
      </c>
      <c r="C234" s="27" t="n">
        <f aca="false">$B234*$C$72</f>
        <v>19.687391710338</v>
      </c>
      <c r="D234" s="27" t="n">
        <f aca="false">$B234*$D$72</f>
        <v>23.079076163266</v>
      </c>
      <c r="E234" s="27" t="n">
        <f aca="false">$B234*$E$72</f>
        <v>4.02508983138684</v>
      </c>
      <c r="F234" s="27" t="n">
        <f aca="false">$B234*$F$72</f>
        <v>2.72475401685586</v>
      </c>
      <c r="G234" s="27" t="n">
        <f aca="false">$B234*$G$72</f>
        <v>0.0385835722236879</v>
      </c>
      <c r="H234" s="27" t="n">
        <f aca="false">$B234*$H$72</f>
        <v>0.0385835722236879</v>
      </c>
    </row>
    <row r="235" customFormat="false" ht="15" hidden="false" customHeight="true" outlineLevel="0" collapsed="false">
      <c r="A235" s="5" t="n">
        <v>2059</v>
      </c>
      <c r="B235" s="27" t="n">
        <f aca="false">E67</f>
        <v>51.1983206127984</v>
      </c>
      <c r="C235" s="27" t="n">
        <f aca="false">$B235*$C$72</f>
        <v>20.3244744240092</v>
      </c>
      <c r="D235" s="27" t="n">
        <f aca="false">$B235*$D$72</f>
        <v>23.8259135649619</v>
      </c>
      <c r="E235" s="27" t="n">
        <f aca="false">$B235*$E$72</f>
        <v>4.15534147621004</v>
      </c>
      <c r="F235" s="27" t="n">
        <f aca="false">$B235*$F$72</f>
        <v>2.81292687940085</v>
      </c>
      <c r="G235" s="27" t="n">
        <f aca="false">$B235*$G$72</f>
        <v>0.0398321341082207</v>
      </c>
      <c r="H235" s="27" t="n">
        <f aca="false">$B235*$H$72</f>
        <v>0.0398321341082207</v>
      </c>
    </row>
    <row r="236" customFormat="false" ht="15" hidden="false" customHeight="true" outlineLevel="0" collapsed="false">
      <c r="A236" s="5" t="n">
        <v>2060</v>
      </c>
      <c r="B236" s="27" t="n">
        <f aca="false">E68</f>
        <v>52.8445845516687</v>
      </c>
      <c r="C236" s="27" t="n">
        <f aca="false">$B236*$C$72</f>
        <v>20.9780007295649</v>
      </c>
      <c r="D236" s="27" t="n">
        <f aca="false">$B236*$D$72</f>
        <v>24.5920274109468</v>
      </c>
      <c r="E236" s="27" t="n">
        <f aca="false">$B236*$E$72</f>
        <v>4.28895501556247</v>
      </c>
      <c r="F236" s="27" t="n">
        <f aca="false">$B236*$F$72</f>
        <v>2.90337555093558</v>
      </c>
      <c r="G236" s="27" t="n">
        <f aca="false">$B236*$G$72</f>
        <v>0.0411129223295089</v>
      </c>
      <c r="H236" s="27" t="n">
        <f aca="false">$B236*$H$72</f>
        <v>0.0411129223295089</v>
      </c>
    </row>
  </sheetData>
  <mergeCells count="9">
    <mergeCell ref="A2:L2"/>
    <mergeCell ref="A4:L4"/>
    <mergeCell ref="A10:L10"/>
    <mergeCell ref="A16:L16"/>
    <mergeCell ref="A69:L69"/>
    <mergeCell ref="A71:L71"/>
    <mergeCell ref="A74:L74"/>
    <mergeCell ref="A129:L129"/>
    <mergeCell ref="A184:L1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2"/>
  </cols>
  <sheetData>
    <row r="1" customFormat="false" ht="17.25" hidden="false" customHeight="true" outlineLevel="0" collapsed="false">
      <c r="A1" s="44" t="s">
        <v>187</v>
      </c>
    </row>
    <row r="2" customFormat="false" ht="38.25" hidden="false" customHeight="true" outlineLevel="0" collapsed="false">
      <c r="A2" s="22" t="s">
        <v>188</v>
      </c>
      <c r="B2" s="22"/>
      <c r="C2" s="22"/>
      <c r="D2" s="22"/>
      <c r="E2" s="22"/>
      <c r="F2" s="22"/>
      <c r="G2" s="22"/>
    </row>
    <row r="4" customFormat="false" ht="15" hidden="false" customHeight="true" outlineLevel="0" collapsed="false">
      <c r="A4" s="46" t="s">
        <v>118</v>
      </c>
      <c r="B4" s="46" t="s">
        <v>189</v>
      </c>
      <c r="C4" s="46" t="s">
        <v>159</v>
      </c>
      <c r="D4" s="46" t="s">
        <v>178</v>
      </c>
      <c r="E4" s="46" t="s">
        <v>190</v>
      </c>
      <c r="F4" s="46" t="s">
        <v>191</v>
      </c>
    </row>
    <row r="5" customFormat="false" ht="15" hidden="false" customHeight="true" outlineLevel="0" collapsed="false">
      <c r="A5" s="5" t="n">
        <v>2010</v>
      </c>
      <c r="B5" s="27" t="n">
        <v>8.671474</v>
      </c>
      <c r="C5" s="55" t="s">
        <v>192</v>
      </c>
      <c r="D5" s="27" t="n">
        <f aca="false">'Fleet projections'!J18</f>
        <v>8.671474</v>
      </c>
      <c r="E5" s="53" t="n">
        <f aca="false">IF(D5="","",D5/B5)</f>
        <v>1</v>
      </c>
      <c r="F5" s="27" t="n">
        <f aca="false">'Fleet projections'!D18</f>
        <v>8.671474</v>
      </c>
    </row>
    <row r="6" customFormat="false" ht="15" hidden="false" customHeight="true" outlineLevel="0" collapsed="false">
      <c r="A6" s="5" t="n">
        <v>2017</v>
      </c>
      <c r="B6" s="27" t="n">
        <v>11.45837</v>
      </c>
      <c r="C6" s="55" t="s">
        <v>193</v>
      </c>
      <c r="D6" s="27" t="n">
        <f aca="false">'Fleet projections'!J25</f>
        <v>14.2596</v>
      </c>
      <c r="E6" s="53" t="n">
        <f aca="false">IF(D6="","",D6/B6)</f>
        <v>1.24447019951354</v>
      </c>
      <c r="F6" s="27" t="n">
        <f aca="false">'Fleet projections'!D25</f>
        <v>11.45837</v>
      </c>
    </row>
    <row r="7" customFormat="false" ht="15" hidden="false" customHeight="true" outlineLevel="0" collapsed="false">
      <c r="A7" s="5" t="n">
        <v>2017.75</v>
      </c>
      <c r="B7" s="27" t="n">
        <v>11.547236</v>
      </c>
      <c r="C7" s="55" t="s">
        <v>194</v>
      </c>
      <c r="D7" s="27" t="n">
        <f aca="false">'Fleet projections'!J26</f>
        <v>15.3098</v>
      </c>
      <c r="E7" s="53" t="n">
        <f aca="false">IF(D7="","",D7/B7)</f>
        <v>1.32584109305465</v>
      </c>
      <c r="F7" s="27" t="n">
        <f aca="false">'Fleet projections'!D26</f>
        <v>11.826033</v>
      </c>
    </row>
    <row r="8" customFormat="false" ht="15" hidden="false" customHeight="true" outlineLevel="0" collapsed="false">
      <c r="A8" s="5" t="n">
        <v>2018.25</v>
      </c>
      <c r="B8" s="27" t="n">
        <v>11.653871</v>
      </c>
      <c r="C8" s="55" t="s">
        <v>195</v>
      </c>
      <c r="D8" s="27" t="n">
        <f aca="false">'Fleet projections'!J26</f>
        <v>15.3098</v>
      </c>
      <c r="E8" s="53" t="n">
        <f aca="false">IF(D8="","",D8/B8)</f>
        <v>1.31370941037532</v>
      </c>
      <c r="F8" s="27" t="n">
        <f aca="false">'Fleet projections'!D26</f>
        <v>11.826033</v>
      </c>
    </row>
    <row r="9" customFormat="false" ht="15" hidden="false" customHeight="true" outlineLevel="0" collapsed="false">
      <c r="A9" s="5" t="n">
        <v>2018</v>
      </c>
      <c r="B9" s="27" t="n">
        <v>11.826033</v>
      </c>
      <c r="C9" s="55" t="s">
        <v>196</v>
      </c>
      <c r="D9" s="27" t="n">
        <f aca="false">'Fleet projections'!J26</f>
        <v>15.3098</v>
      </c>
      <c r="E9" s="53" t="n">
        <f aca="false">IF(D9="","",D9/B9)</f>
        <v>1.29458458301275</v>
      </c>
      <c r="F9" s="27" t="n">
        <f aca="false">'Fleet projections'!D26</f>
        <v>11.826033</v>
      </c>
    </row>
    <row r="10" customFormat="false" ht="15" hidden="false" customHeight="true" outlineLevel="0" collapsed="false">
      <c r="A10" s="5" t="n">
        <v>2020</v>
      </c>
      <c r="B10" s="27" t="n">
        <v>11.605207</v>
      </c>
      <c r="C10" s="55" t="s">
        <v>197</v>
      </c>
      <c r="D10" s="27" t="n">
        <f aca="false">'Fleet projections'!J28</f>
        <v>17.647653</v>
      </c>
      <c r="E10" s="53" t="n">
        <f aca="false">IF(D10="","",D10/B10)</f>
        <v>1.52066680068697</v>
      </c>
      <c r="F10" s="27" t="n">
        <f aca="false">'Fleet projections'!D28</f>
        <v>12.7798461795948</v>
      </c>
    </row>
    <row r="11" customFormat="false" ht="15" hidden="false" customHeight="true" outlineLevel="0" collapsed="false">
      <c r="A11" s="5" t="n">
        <v>2023</v>
      </c>
      <c r="B11" s="27" t="n">
        <v>12</v>
      </c>
      <c r="C11" s="55" t="s">
        <v>198</v>
      </c>
      <c r="D11" s="27" t="n">
        <f aca="false">'Fleet projections'!J31</f>
        <v>21.4656</v>
      </c>
      <c r="E11" s="53" t="n">
        <f aca="false">IF(D11="","",D11/B11)</f>
        <v>1.7888</v>
      </c>
      <c r="F11" s="27" t="n">
        <f aca="false">'Fleet projections'!D31</f>
        <v>14.3567268204538</v>
      </c>
    </row>
    <row r="13" customFormat="false" ht="15" hidden="false" customHeight="true" outlineLevel="0" collapsed="false">
      <c r="A13" s="5" t="s">
        <v>199</v>
      </c>
      <c r="B13" s="40" t="n">
        <f aca="false">'Fleet projections'!B11</f>
        <v>0.0395449429033066</v>
      </c>
    </row>
    <row r="14" customFormat="false" ht="15" hidden="false" customHeight="true" outlineLevel="0" collapsed="false">
      <c r="A14" s="5" t="s">
        <v>200</v>
      </c>
      <c r="B14" s="40" t="n">
        <f aca="false">'Fleet projections'!B12</f>
        <v>0.0678840393604681</v>
      </c>
    </row>
    <row r="16" customFormat="false" ht="15" hidden="false" customHeight="true" outlineLevel="0" collapsed="false">
      <c r="A16" s="45" t="s">
        <v>201</v>
      </c>
      <c r="B16" s="45"/>
      <c r="C16" s="45"/>
      <c r="D16" s="45"/>
      <c r="E16" s="45"/>
      <c r="F16" s="45"/>
      <c r="G16" s="45"/>
    </row>
    <row r="17" customFormat="false" ht="69" hidden="false" customHeight="true" outlineLevel="0" collapsed="false">
      <c r="A17" s="5" t="s">
        <v>202</v>
      </c>
      <c r="B17" s="42" t="n">
        <f aca="false">'Fleet projections'!C68</f>
        <v>158.769160156543</v>
      </c>
      <c r="C17" s="61" t="n">
        <f aca="false">B17*1000/'GDP and Population'!D55</f>
        <v>399.005857602695</v>
      </c>
      <c r="D17" s="55" t="s">
        <v>203</v>
      </c>
    </row>
    <row r="18" customFormat="false" ht="69" hidden="false" customHeight="true" outlineLevel="0" collapsed="false">
      <c r="A18" s="5" t="s">
        <v>204</v>
      </c>
      <c r="B18" s="42" t="n">
        <f aca="false">'Fleet projections'!D68</f>
        <v>104.023244539157</v>
      </c>
      <c r="C18" s="61" t="n">
        <f aca="false">B18*1000/'GDP and Population'!D55</f>
        <v>261.422834617488</v>
      </c>
      <c r="D18" s="55" t="s">
        <v>203</v>
      </c>
    </row>
    <row r="19" customFormat="false" ht="69" hidden="false" customHeight="true" outlineLevel="0" collapsed="false">
      <c r="A19" s="5" t="s">
        <v>205</v>
      </c>
      <c r="B19" s="42" t="n">
        <f aca="false">'Fleet projections'!E68</f>
        <v>52.8445845516687</v>
      </c>
      <c r="C19" s="61" t="n">
        <f aca="false">B19*1000/'GDP and Population'!D55</f>
        <v>132.80475098506</v>
      </c>
      <c r="D19" s="55" t="s">
        <v>203</v>
      </c>
    </row>
  </sheetData>
  <mergeCells count="2"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62" t="s">
        <v>206</v>
      </c>
      <c r="B1" s="62"/>
      <c r="C1" s="62"/>
      <c r="D1" s="62"/>
      <c r="E1" s="62"/>
      <c r="F1" s="62"/>
      <c r="G1" s="62"/>
      <c r="H1" s="62"/>
    </row>
    <row r="3" customFormat="false" ht="15" hidden="false" customHeight="true" outlineLevel="0" collapsed="false">
      <c r="A3" s="63" t="s">
        <v>118</v>
      </c>
      <c r="B3" s="63" t="s">
        <v>8</v>
      </c>
      <c r="C3" s="63" t="s">
        <v>11</v>
      </c>
      <c r="D3" s="63" t="s">
        <v>14</v>
      </c>
      <c r="E3" s="63" t="s">
        <v>16</v>
      </c>
      <c r="F3" s="63" t="s">
        <v>18</v>
      </c>
      <c r="G3" s="63" t="s">
        <v>20</v>
      </c>
    </row>
    <row r="4" customFormat="false" ht="15" hidden="false" customHeight="true" outlineLevel="0" collapsed="false">
      <c r="A4" s="5" t="n">
        <v>2010</v>
      </c>
      <c r="B4" s="64" t="n">
        <f aca="false">IF(A4&lt;2025,0,(1/(1+EXP(-Assumptions!$C$16*(A4-Assumptions!$B$16))))/IF(Assumptions!$B$92=1,1/(1+EXP(-Assumptions!$C$16*(2060-Assumptions!$B$16))),1))</f>
        <v>0</v>
      </c>
      <c r="C4" s="64" t="n">
        <f aca="false">IF(A4&lt;2025,0,(1/(1+EXP(-Assumptions!$C$17*(A4-Assumptions!$B$17))))/IF(Assumptions!$B$92=1,1/(1+EXP(-Assumptions!$C$17*(2060-Assumptions!$B$17))),1))</f>
        <v>0</v>
      </c>
      <c r="D4" s="64" t="n">
        <f aca="false">IF(A4&lt;2025,0,(1/(1+EXP(-Assumptions!$C$18*(A4-Assumptions!$B$18))))/IF(Assumptions!$B$92=1,1/(1+EXP(-Assumptions!$C$18*(2060-Assumptions!$B$18))),1))</f>
        <v>0</v>
      </c>
      <c r="E4" s="64" t="n">
        <f aca="false">IF(A4&lt;2025,0,(1/(1+EXP(-Assumptions!$C$19*(A4-Assumptions!$B$19))))/IF(Assumptions!$B$92=1,1/(1+EXP(-Assumptions!$C$19*(2060-Assumptions!$B$19))),1))</f>
        <v>0</v>
      </c>
      <c r="F4" s="64" t="n">
        <f aca="false">IF(A4&lt;2025,0,(1/(1+EXP(-Assumptions!$C$20*(A4-Assumptions!$B$20))))/IF(Assumptions!$B$92=1,1/(1+EXP(-Assumptions!$C$20*(2060-Assumptions!$B$20))),1))</f>
        <v>0</v>
      </c>
      <c r="G4" s="64" t="n">
        <f aca="false">IF(A4&lt;2025,0,(1/(1+EXP(-Assumptions!$C$21*(A4-Assumptions!$B$21))))/IF(Assumptions!$B$92=1,1/(1+EXP(-Assumptions!$C$21*(2060-Assumptions!$B$21))),1))</f>
        <v>0</v>
      </c>
    </row>
    <row r="5" customFormat="false" ht="15" hidden="false" customHeight="true" outlineLevel="0" collapsed="false">
      <c r="A5" s="5" t="n">
        <v>2011</v>
      </c>
      <c r="B5" s="64" t="n">
        <f aca="false">IF(A5&lt;2025,0,(1/(1+EXP(-Assumptions!$C$16*(A5-Assumptions!$B$16))))/IF(Assumptions!$B$92=1,1/(1+EXP(-Assumptions!$C$16*(2060-Assumptions!$B$16))),1))</f>
        <v>0</v>
      </c>
      <c r="C5" s="64" t="n">
        <f aca="false">IF(A5&lt;2025,0,(1/(1+EXP(-Assumptions!$C$17*(A5-Assumptions!$B$17))))/IF(Assumptions!$B$92=1,1/(1+EXP(-Assumptions!$C$17*(2060-Assumptions!$B$17))),1))</f>
        <v>0</v>
      </c>
      <c r="D5" s="64" t="n">
        <f aca="false">IF(A5&lt;2025,0,(1/(1+EXP(-Assumptions!$C$18*(A5-Assumptions!$B$18))))/IF(Assumptions!$B$92=1,1/(1+EXP(-Assumptions!$C$18*(2060-Assumptions!$B$18))),1))</f>
        <v>0</v>
      </c>
      <c r="E5" s="64" t="n">
        <f aca="false">IF(A5&lt;2025,0,(1/(1+EXP(-Assumptions!$C$19*(A5-Assumptions!$B$19))))/IF(Assumptions!$B$92=1,1/(1+EXP(-Assumptions!$C$19*(2060-Assumptions!$B$19))),1))</f>
        <v>0</v>
      </c>
      <c r="F5" s="64" t="n">
        <f aca="false">IF(A5&lt;2025,0,(1/(1+EXP(-Assumptions!$C$20*(A5-Assumptions!$B$20))))/IF(Assumptions!$B$92=1,1/(1+EXP(-Assumptions!$C$20*(2060-Assumptions!$B$20))),1))</f>
        <v>0</v>
      </c>
      <c r="G5" s="64" t="n">
        <f aca="false">IF(A5&lt;2025,0,(1/(1+EXP(-Assumptions!$C$21*(A5-Assumptions!$B$21))))/IF(Assumptions!$B$92=1,1/(1+EXP(-Assumptions!$C$21*(2060-Assumptions!$B$21))),1))</f>
        <v>0</v>
      </c>
    </row>
    <row r="6" customFormat="false" ht="15" hidden="false" customHeight="true" outlineLevel="0" collapsed="false">
      <c r="A6" s="5" t="n">
        <v>2012</v>
      </c>
      <c r="B6" s="64" t="n">
        <f aca="false">IF(A6&lt;2025,0,(1/(1+EXP(-Assumptions!$C$16*(A6-Assumptions!$B$16))))/IF(Assumptions!$B$92=1,1/(1+EXP(-Assumptions!$C$16*(2060-Assumptions!$B$16))),1))</f>
        <v>0</v>
      </c>
      <c r="C6" s="64" t="n">
        <f aca="false">IF(A6&lt;2025,0,(1/(1+EXP(-Assumptions!$C$17*(A6-Assumptions!$B$17))))/IF(Assumptions!$B$92=1,1/(1+EXP(-Assumptions!$C$17*(2060-Assumptions!$B$17))),1))</f>
        <v>0</v>
      </c>
      <c r="D6" s="64" t="n">
        <f aca="false">IF(A6&lt;2025,0,(1/(1+EXP(-Assumptions!$C$18*(A6-Assumptions!$B$18))))/IF(Assumptions!$B$92=1,1/(1+EXP(-Assumptions!$C$18*(2060-Assumptions!$B$18))),1))</f>
        <v>0</v>
      </c>
      <c r="E6" s="64" t="n">
        <f aca="false">IF(A6&lt;2025,0,(1/(1+EXP(-Assumptions!$C$19*(A6-Assumptions!$B$19))))/IF(Assumptions!$B$92=1,1/(1+EXP(-Assumptions!$C$19*(2060-Assumptions!$B$19))),1))</f>
        <v>0</v>
      </c>
      <c r="F6" s="64" t="n">
        <f aca="false">IF(A6&lt;2025,0,(1/(1+EXP(-Assumptions!$C$20*(A6-Assumptions!$B$20))))/IF(Assumptions!$B$92=1,1/(1+EXP(-Assumptions!$C$20*(2060-Assumptions!$B$20))),1))</f>
        <v>0</v>
      </c>
      <c r="G6" s="64" t="n">
        <f aca="false">IF(A6&lt;2025,0,(1/(1+EXP(-Assumptions!$C$21*(A6-Assumptions!$B$21))))/IF(Assumptions!$B$92=1,1/(1+EXP(-Assumptions!$C$21*(2060-Assumptions!$B$21))),1))</f>
        <v>0</v>
      </c>
    </row>
    <row r="7" customFormat="false" ht="15" hidden="false" customHeight="true" outlineLevel="0" collapsed="false">
      <c r="A7" s="5" t="n">
        <v>2013</v>
      </c>
      <c r="B7" s="64" t="n">
        <f aca="false">IF(A7&lt;2025,0,(1/(1+EXP(-Assumptions!$C$16*(A7-Assumptions!$B$16))))/IF(Assumptions!$B$92=1,1/(1+EXP(-Assumptions!$C$16*(2060-Assumptions!$B$16))),1))</f>
        <v>0</v>
      </c>
      <c r="C7" s="64" t="n">
        <f aca="false">IF(A7&lt;2025,0,(1/(1+EXP(-Assumptions!$C$17*(A7-Assumptions!$B$17))))/IF(Assumptions!$B$92=1,1/(1+EXP(-Assumptions!$C$17*(2060-Assumptions!$B$17))),1))</f>
        <v>0</v>
      </c>
      <c r="D7" s="64" t="n">
        <f aca="false">IF(A7&lt;2025,0,(1/(1+EXP(-Assumptions!$C$18*(A7-Assumptions!$B$18))))/IF(Assumptions!$B$92=1,1/(1+EXP(-Assumptions!$C$18*(2060-Assumptions!$B$18))),1))</f>
        <v>0</v>
      </c>
      <c r="E7" s="64" t="n">
        <f aca="false">IF(A7&lt;2025,0,(1/(1+EXP(-Assumptions!$C$19*(A7-Assumptions!$B$19))))/IF(Assumptions!$B$92=1,1/(1+EXP(-Assumptions!$C$19*(2060-Assumptions!$B$19))),1))</f>
        <v>0</v>
      </c>
      <c r="F7" s="64" t="n">
        <f aca="false">IF(A7&lt;2025,0,(1/(1+EXP(-Assumptions!$C$20*(A7-Assumptions!$B$20))))/IF(Assumptions!$B$92=1,1/(1+EXP(-Assumptions!$C$20*(2060-Assumptions!$B$20))),1))</f>
        <v>0</v>
      </c>
      <c r="G7" s="64" t="n">
        <f aca="false">IF(A7&lt;2025,0,(1/(1+EXP(-Assumptions!$C$21*(A7-Assumptions!$B$21))))/IF(Assumptions!$B$92=1,1/(1+EXP(-Assumptions!$C$21*(2060-Assumptions!$B$21))),1))</f>
        <v>0</v>
      </c>
    </row>
    <row r="8" customFormat="false" ht="15" hidden="false" customHeight="true" outlineLevel="0" collapsed="false">
      <c r="A8" s="5" t="n">
        <v>2014</v>
      </c>
      <c r="B8" s="64" t="n">
        <f aca="false">IF(A8&lt;2025,0,(1/(1+EXP(-Assumptions!$C$16*(A8-Assumptions!$B$16))))/IF(Assumptions!$B$92=1,1/(1+EXP(-Assumptions!$C$16*(2060-Assumptions!$B$16))),1))</f>
        <v>0</v>
      </c>
      <c r="C8" s="64" t="n">
        <f aca="false">IF(A8&lt;2025,0,(1/(1+EXP(-Assumptions!$C$17*(A8-Assumptions!$B$17))))/IF(Assumptions!$B$92=1,1/(1+EXP(-Assumptions!$C$17*(2060-Assumptions!$B$17))),1))</f>
        <v>0</v>
      </c>
      <c r="D8" s="64" t="n">
        <f aca="false">IF(A8&lt;2025,0,(1/(1+EXP(-Assumptions!$C$18*(A8-Assumptions!$B$18))))/IF(Assumptions!$B$92=1,1/(1+EXP(-Assumptions!$C$18*(2060-Assumptions!$B$18))),1))</f>
        <v>0</v>
      </c>
      <c r="E8" s="64" t="n">
        <f aca="false">IF(A8&lt;2025,0,(1/(1+EXP(-Assumptions!$C$19*(A8-Assumptions!$B$19))))/IF(Assumptions!$B$92=1,1/(1+EXP(-Assumptions!$C$19*(2060-Assumptions!$B$19))),1))</f>
        <v>0</v>
      </c>
      <c r="F8" s="64" t="n">
        <f aca="false">IF(A8&lt;2025,0,(1/(1+EXP(-Assumptions!$C$20*(A8-Assumptions!$B$20))))/IF(Assumptions!$B$92=1,1/(1+EXP(-Assumptions!$C$20*(2060-Assumptions!$B$20))),1))</f>
        <v>0</v>
      </c>
      <c r="G8" s="64" t="n">
        <f aca="false">IF(A8&lt;2025,0,(1/(1+EXP(-Assumptions!$C$21*(A8-Assumptions!$B$21))))/IF(Assumptions!$B$92=1,1/(1+EXP(-Assumptions!$C$21*(2060-Assumptions!$B$21))),1))</f>
        <v>0</v>
      </c>
    </row>
    <row r="9" customFormat="false" ht="15" hidden="false" customHeight="true" outlineLevel="0" collapsed="false">
      <c r="A9" s="5" t="n">
        <v>2015</v>
      </c>
      <c r="B9" s="64" t="n">
        <f aca="false">IF(A9&lt;2025,0,(1/(1+EXP(-Assumptions!$C$16*(A9-Assumptions!$B$16))))/IF(Assumptions!$B$92=1,1/(1+EXP(-Assumptions!$C$16*(2060-Assumptions!$B$16))),1))</f>
        <v>0</v>
      </c>
      <c r="C9" s="64" t="n">
        <f aca="false">IF(A9&lt;2025,0,(1/(1+EXP(-Assumptions!$C$17*(A9-Assumptions!$B$17))))/IF(Assumptions!$B$92=1,1/(1+EXP(-Assumptions!$C$17*(2060-Assumptions!$B$17))),1))</f>
        <v>0</v>
      </c>
      <c r="D9" s="64" t="n">
        <f aca="false">IF(A9&lt;2025,0,(1/(1+EXP(-Assumptions!$C$18*(A9-Assumptions!$B$18))))/IF(Assumptions!$B$92=1,1/(1+EXP(-Assumptions!$C$18*(2060-Assumptions!$B$18))),1))</f>
        <v>0</v>
      </c>
      <c r="E9" s="64" t="n">
        <f aca="false">IF(A9&lt;2025,0,(1/(1+EXP(-Assumptions!$C$19*(A9-Assumptions!$B$19))))/IF(Assumptions!$B$92=1,1/(1+EXP(-Assumptions!$C$19*(2060-Assumptions!$B$19))),1))</f>
        <v>0</v>
      </c>
      <c r="F9" s="64" t="n">
        <f aca="false">IF(A9&lt;2025,0,(1/(1+EXP(-Assumptions!$C$20*(A9-Assumptions!$B$20))))/IF(Assumptions!$B$92=1,1/(1+EXP(-Assumptions!$C$20*(2060-Assumptions!$B$20))),1))</f>
        <v>0</v>
      </c>
      <c r="G9" s="64" t="n">
        <f aca="false">IF(A9&lt;2025,0,(1/(1+EXP(-Assumptions!$C$21*(A9-Assumptions!$B$21))))/IF(Assumptions!$B$92=1,1/(1+EXP(-Assumptions!$C$21*(2060-Assumptions!$B$21))),1))</f>
        <v>0</v>
      </c>
    </row>
    <row r="10" customFormat="false" ht="15" hidden="false" customHeight="true" outlineLevel="0" collapsed="false">
      <c r="A10" s="5" t="n">
        <v>2016</v>
      </c>
      <c r="B10" s="64" t="n">
        <f aca="false">IF(A10&lt;2025,0,(1/(1+EXP(-Assumptions!$C$16*(A10-Assumptions!$B$16))))/IF(Assumptions!$B$92=1,1/(1+EXP(-Assumptions!$C$16*(2060-Assumptions!$B$16))),1))</f>
        <v>0</v>
      </c>
      <c r="C10" s="64" t="n">
        <f aca="false">IF(A10&lt;2025,0,(1/(1+EXP(-Assumptions!$C$17*(A10-Assumptions!$B$17))))/IF(Assumptions!$B$92=1,1/(1+EXP(-Assumptions!$C$17*(2060-Assumptions!$B$17))),1))</f>
        <v>0</v>
      </c>
      <c r="D10" s="64" t="n">
        <f aca="false">IF(A10&lt;2025,0,(1/(1+EXP(-Assumptions!$C$18*(A10-Assumptions!$B$18))))/IF(Assumptions!$B$92=1,1/(1+EXP(-Assumptions!$C$18*(2060-Assumptions!$B$18))),1))</f>
        <v>0</v>
      </c>
      <c r="E10" s="64" t="n">
        <f aca="false">IF(A10&lt;2025,0,(1/(1+EXP(-Assumptions!$C$19*(A10-Assumptions!$B$19))))/IF(Assumptions!$B$92=1,1/(1+EXP(-Assumptions!$C$19*(2060-Assumptions!$B$19))),1))</f>
        <v>0</v>
      </c>
      <c r="F10" s="64" t="n">
        <f aca="false">IF(A10&lt;2025,0,(1/(1+EXP(-Assumptions!$C$20*(A10-Assumptions!$B$20))))/IF(Assumptions!$B$92=1,1/(1+EXP(-Assumptions!$C$20*(2060-Assumptions!$B$20))),1))</f>
        <v>0</v>
      </c>
      <c r="G10" s="64" t="n">
        <f aca="false">IF(A10&lt;2025,0,(1/(1+EXP(-Assumptions!$C$21*(A10-Assumptions!$B$21))))/IF(Assumptions!$B$92=1,1/(1+EXP(-Assumptions!$C$21*(2060-Assumptions!$B$21))),1))</f>
        <v>0</v>
      </c>
    </row>
    <row r="11" customFormat="false" ht="15" hidden="false" customHeight="true" outlineLevel="0" collapsed="false">
      <c r="A11" s="5" t="n">
        <v>2017</v>
      </c>
      <c r="B11" s="64" t="n">
        <f aca="false">IF(A11&lt;2025,0,(1/(1+EXP(-Assumptions!$C$16*(A11-Assumptions!$B$16))))/IF(Assumptions!$B$92=1,1/(1+EXP(-Assumptions!$C$16*(2060-Assumptions!$B$16))),1))</f>
        <v>0</v>
      </c>
      <c r="C11" s="64" t="n">
        <f aca="false">IF(A11&lt;2025,0,(1/(1+EXP(-Assumptions!$C$17*(A11-Assumptions!$B$17))))/IF(Assumptions!$B$92=1,1/(1+EXP(-Assumptions!$C$17*(2060-Assumptions!$B$17))),1))</f>
        <v>0</v>
      </c>
      <c r="D11" s="64" t="n">
        <f aca="false">IF(A11&lt;2025,0,(1/(1+EXP(-Assumptions!$C$18*(A11-Assumptions!$B$18))))/IF(Assumptions!$B$92=1,1/(1+EXP(-Assumptions!$C$18*(2060-Assumptions!$B$18))),1))</f>
        <v>0</v>
      </c>
      <c r="E11" s="64" t="n">
        <f aca="false">IF(A11&lt;2025,0,(1/(1+EXP(-Assumptions!$C$19*(A11-Assumptions!$B$19))))/IF(Assumptions!$B$92=1,1/(1+EXP(-Assumptions!$C$19*(2060-Assumptions!$B$19))),1))</f>
        <v>0</v>
      </c>
      <c r="F11" s="64" t="n">
        <f aca="false">IF(A11&lt;2025,0,(1/(1+EXP(-Assumptions!$C$20*(A11-Assumptions!$B$20))))/IF(Assumptions!$B$92=1,1/(1+EXP(-Assumptions!$C$20*(2060-Assumptions!$B$20))),1))</f>
        <v>0</v>
      </c>
      <c r="G11" s="64" t="n">
        <f aca="false">IF(A11&lt;2025,0,(1/(1+EXP(-Assumptions!$C$21*(A11-Assumptions!$B$21))))/IF(Assumptions!$B$92=1,1/(1+EXP(-Assumptions!$C$21*(2060-Assumptions!$B$21))),1))</f>
        <v>0</v>
      </c>
    </row>
    <row r="12" customFormat="false" ht="15" hidden="false" customHeight="true" outlineLevel="0" collapsed="false">
      <c r="A12" s="5" t="n">
        <v>2018</v>
      </c>
      <c r="B12" s="64" t="n">
        <f aca="false">IF(A12&lt;2025,0,(1/(1+EXP(-Assumptions!$C$16*(A12-Assumptions!$B$16))))/IF(Assumptions!$B$92=1,1/(1+EXP(-Assumptions!$C$16*(2060-Assumptions!$B$16))),1))</f>
        <v>0</v>
      </c>
      <c r="C12" s="64" t="n">
        <f aca="false">IF(A12&lt;2025,0,(1/(1+EXP(-Assumptions!$C$17*(A12-Assumptions!$B$17))))/IF(Assumptions!$B$92=1,1/(1+EXP(-Assumptions!$C$17*(2060-Assumptions!$B$17))),1))</f>
        <v>0</v>
      </c>
      <c r="D12" s="64" t="n">
        <f aca="false">IF(A12&lt;2025,0,(1/(1+EXP(-Assumptions!$C$18*(A12-Assumptions!$B$18))))/IF(Assumptions!$B$92=1,1/(1+EXP(-Assumptions!$C$18*(2060-Assumptions!$B$18))),1))</f>
        <v>0</v>
      </c>
      <c r="E12" s="64" t="n">
        <f aca="false">IF(A12&lt;2025,0,(1/(1+EXP(-Assumptions!$C$19*(A12-Assumptions!$B$19))))/IF(Assumptions!$B$92=1,1/(1+EXP(-Assumptions!$C$19*(2060-Assumptions!$B$19))),1))</f>
        <v>0</v>
      </c>
      <c r="F12" s="64" t="n">
        <f aca="false">IF(A12&lt;2025,0,(1/(1+EXP(-Assumptions!$C$20*(A12-Assumptions!$B$20))))/IF(Assumptions!$B$92=1,1/(1+EXP(-Assumptions!$C$20*(2060-Assumptions!$B$20))),1))</f>
        <v>0</v>
      </c>
      <c r="G12" s="64" t="n">
        <f aca="false">IF(A12&lt;2025,0,(1/(1+EXP(-Assumptions!$C$21*(A12-Assumptions!$B$21))))/IF(Assumptions!$B$92=1,1/(1+EXP(-Assumptions!$C$21*(2060-Assumptions!$B$21))),1))</f>
        <v>0</v>
      </c>
    </row>
    <row r="13" customFormat="false" ht="15" hidden="false" customHeight="true" outlineLevel="0" collapsed="false">
      <c r="A13" s="5" t="n">
        <v>2019</v>
      </c>
      <c r="B13" s="64" t="n">
        <f aca="false">IF(A13&lt;2025,0,(1/(1+EXP(-Assumptions!$C$16*(A13-Assumptions!$B$16))))/IF(Assumptions!$B$92=1,1/(1+EXP(-Assumptions!$C$16*(2060-Assumptions!$B$16))),1))</f>
        <v>0</v>
      </c>
      <c r="C13" s="64" t="n">
        <f aca="false">IF(A13&lt;2025,0,(1/(1+EXP(-Assumptions!$C$17*(A13-Assumptions!$B$17))))/IF(Assumptions!$B$92=1,1/(1+EXP(-Assumptions!$C$17*(2060-Assumptions!$B$17))),1))</f>
        <v>0</v>
      </c>
      <c r="D13" s="64" t="n">
        <f aca="false">IF(A13&lt;2025,0,(1/(1+EXP(-Assumptions!$C$18*(A13-Assumptions!$B$18))))/IF(Assumptions!$B$92=1,1/(1+EXP(-Assumptions!$C$18*(2060-Assumptions!$B$18))),1))</f>
        <v>0</v>
      </c>
      <c r="E13" s="64" t="n">
        <f aca="false">IF(A13&lt;2025,0,(1/(1+EXP(-Assumptions!$C$19*(A13-Assumptions!$B$19))))/IF(Assumptions!$B$92=1,1/(1+EXP(-Assumptions!$C$19*(2060-Assumptions!$B$19))),1))</f>
        <v>0</v>
      </c>
      <c r="F13" s="64" t="n">
        <f aca="false">IF(A13&lt;2025,0,(1/(1+EXP(-Assumptions!$C$20*(A13-Assumptions!$B$20))))/IF(Assumptions!$B$92=1,1/(1+EXP(-Assumptions!$C$20*(2060-Assumptions!$B$20))),1))</f>
        <v>0</v>
      </c>
      <c r="G13" s="64" t="n">
        <f aca="false">IF(A13&lt;2025,0,(1/(1+EXP(-Assumptions!$C$21*(A13-Assumptions!$B$21))))/IF(Assumptions!$B$92=1,1/(1+EXP(-Assumptions!$C$21*(2060-Assumptions!$B$21))),1))</f>
        <v>0</v>
      </c>
    </row>
    <row r="14" customFormat="false" ht="15" hidden="false" customHeight="true" outlineLevel="0" collapsed="false">
      <c r="A14" s="5" t="n">
        <v>2020</v>
      </c>
      <c r="B14" s="64" t="n">
        <f aca="false">IF(A14&lt;2025,0,(1/(1+EXP(-Assumptions!$C$16*(A14-Assumptions!$B$16))))/IF(Assumptions!$B$92=1,1/(1+EXP(-Assumptions!$C$16*(2060-Assumptions!$B$16))),1))</f>
        <v>0</v>
      </c>
      <c r="C14" s="64" t="n">
        <f aca="false">IF(A14&lt;2025,0,(1/(1+EXP(-Assumptions!$C$17*(A14-Assumptions!$B$17))))/IF(Assumptions!$B$92=1,1/(1+EXP(-Assumptions!$C$17*(2060-Assumptions!$B$17))),1))</f>
        <v>0</v>
      </c>
      <c r="D14" s="64" t="n">
        <f aca="false">IF(A14&lt;2025,0,(1/(1+EXP(-Assumptions!$C$18*(A14-Assumptions!$B$18))))/IF(Assumptions!$B$92=1,1/(1+EXP(-Assumptions!$C$18*(2060-Assumptions!$B$18))),1))</f>
        <v>0</v>
      </c>
      <c r="E14" s="64" t="n">
        <f aca="false">IF(A14&lt;2025,0,(1/(1+EXP(-Assumptions!$C$19*(A14-Assumptions!$B$19))))/IF(Assumptions!$B$92=1,1/(1+EXP(-Assumptions!$C$19*(2060-Assumptions!$B$19))),1))</f>
        <v>0</v>
      </c>
      <c r="F14" s="64" t="n">
        <f aca="false">IF(A14&lt;2025,0,(1/(1+EXP(-Assumptions!$C$20*(A14-Assumptions!$B$20))))/IF(Assumptions!$B$92=1,1/(1+EXP(-Assumptions!$C$20*(2060-Assumptions!$B$20))),1))</f>
        <v>0</v>
      </c>
      <c r="G14" s="64" t="n">
        <f aca="false">IF(A14&lt;2025,0,(1/(1+EXP(-Assumptions!$C$21*(A14-Assumptions!$B$21))))/IF(Assumptions!$B$92=1,1/(1+EXP(-Assumptions!$C$21*(2060-Assumptions!$B$21))),1))</f>
        <v>0</v>
      </c>
    </row>
    <row r="15" customFormat="false" ht="15" hidden="false" customHeight="true" outlineLevel="0" collapsed="false">
      <c r="A15" s="5" t="n">
        <v>2021</v>
      </c>
      <c r="B15" s="64" t="n">
        <f aca="false">IF(A15&lt;2025,0,(1/(1+EXP(-Assumptions!$C$16*(A15-Assumptions!$B$16))))/IF(Assumptions!$B$92=1,1/(1+EXP(-Assumptions!$C$16*(2060-Assumptions!$B$16))),1))</f>
        <v>0</v>
      </c>
      <c r="C15" s="64" t="n">
        <f aca="false">IF(A15&lt;2025,0,(1/(1+EXP(-Assumptions!$C$17*(A15-Assumptions!$B$17))))/IF(Assumptions!$B$92=1,1/(1+EXP(-Assumptions!$C$17*(2060-Assumptions!$B$17))),1))</f>
        <v>0</v>
      </c>
      <c r="D15" s="64" t="n">
        <f aca="false">IF(A15&lt;2025,0,(1/(1+EXP(-Assumptions!$C$18*(A15-Assumptions!$B$18))))/IF(Assumptions!$B$92=1,1/(1+EXP(-Assumptions!$C$18*(2060-Assumptions!$B$18))),1))</f>
        <v>0</v>
      </c>
      <c r="E15" s="64" t="n">
        <f aca="false">IF(A15&lt;2025,0,(1/(1+EXP(-Assumptions!$C$19*(A15-Assumptions!$B$19))))/IF(Assumptions!$B$92=1,1/(1+EXP(-Assumptions!$C$19*(2060-Assumptions!$B$19))),1))</f>
        <v>0</v>
      </c>
      <c r="F15" s="64" t="n">
        <f aca="false">IF(A15&lt;2025,0,(1/(1+EXP(-Assumptions!$C$20*(A15-Assumptions!$B$20))))/IF(Assumptions!$B$92=1,1/(1+EXP(-Assumptions!$C$20*(2060-Assumptions!$B$20))),1))</f>
        <v>0</v>
      </c>
      <c r="G15" s="64" t="n">
        <f aca="false">IF(A15&lt;2025,0,(1/(1+EXP(-Assumptions!$C$21*(A15-Assumptions!$B$21))))/IF(Assumptions!$B$92=1,1/(1+EXP(-Assumptions!$C$21*(2060-Assumptions!$B$21))),1))</f>
        <v>0</v>
      </c>
    </row>
    <row r="16" customFormat="false" ht="15" hidden="false" customHeight="true" outlineLevel="0" collapsed="false">
      <c r="A16" s="5" t="n">
        <v>2022</v>
      </c>
      <c r="B16" s="64" t="n">
        <f aca="false">IF(A16&lt;2025,0,(1/(1+EXP(-Assumptions!$C$16*(A16-Assumptions!$B$16))))/IF(Assumptions!$B$92=1,1/(1+EXP(-Assumptions!$C$16*(2060-Assumptions!$B$16))),1))</f>
        <v>0</v>
      </c>
      <c r="C16" s="64" t="n">
        <f aca="false">IF(A16&lt;2025,0,(1/(1+EXP(-Assumptions!$C$17*(A16-Assumptions!$B$17))))/IF(Assumptions!$B$92=1,1/(1+EXP(-Assumptions!$C$17*(2060-Assumptions!$B$17))),1))</f>
        <v>0</v>
      </c>
      <c r="D16" s="64" t="n">
        <f aca="false">IF(A16&lt;2025,0,(1/(1+EXP(-Assumptions!$C$18*(A16-Assumptions!$B$18))))/IF(Assumptions!$B$92=1,1/(1+EXP(-Assumptions!$C$18*(2060-Assumptions!$B$18))),1))</f>
        <v>0</v>
      </c>
      <c r="E16" s="64" t="n">
        <f aca="false">IF(A16&lt;2025,0,(1/(1+EXP(-Assumptions!$C$19*(A16-Assumptions!$B$19))))/IF(Assumptions!$B$92=1,1/(1+EXP(-Assumptions!$C$19*(2060-Assumptions!$B$19))),1))</f>
        <v>0</v>
      </c>
      <c r="F16" s="64" t="n">
        <f aca="false">IF(A16&lt;2025,0,(1/(1+EXP(-Assumptions!$C$20*(A16-Assumptions!$B$20))))/IF(Assumptions!$B$92=1,1/(1+EXP(-Assumptions!$C$20*(2060-Assumptions!$B$20))),1))</f>
        <v>0</v>
      </c>
      <c r="G16" s="64" t="n">
        <f aca="false">IF(A16&lt;2025,0,(1/(1+EXP(-Assumptions!$C$21*(A16-Assumptions!$B$21))))/IF(Assumptions!$B$92=1,1/(1+EXP(-Assumptions!$C$21*(2060-Assumptions!$B$21))),1))</f>
        <v>0</v>
      </c>
    </row>
    <row r="17" customFormat="false" ht="15" hidden="false" customHeight="true" outlineLevel="0" collapsed="false">
      <c r="A17" s="5" t="n">
        <v>2023</v>
      </c>
      <c r="B17" s="64" t="n">
        <f aca="false">IF(A17&lt;2025,0,(1/(1+EXP(-Assumptions!$C$16*(A17-Assumptions!$B$16))))/IF(Assumptions!$B$92=1,1/(1+EXP(-Assumptions!$C$16*(2060-Assumptions!$B$16))),1))</f>
        <v>0</v>
      </c>
      <c r="C17" s="64" t="n">
        <f aca="false">IF(A17&lt;2025,0,(1/(1+EXP(-Assumptions!$C$17*(A17-Assumptions!$B$17))))/IF(Assumptions!$B$92=1,1/(1+EXP(-Assumptions!$C$17*(2060-Assumptions!$B$17))),1))</f>
        <v>0</v>
      </c>
      <c r="D17" s="64" t="n">
        <f aca="false">IF(A17&lt;2025,0,(1/(1+EXP(-Assumptions!$C$18*(A17-Assumptions!$B$18))))/IF(Assumptions!$B$92=1,1/(1+EXP(-Assumptions!$C$18*(2060-Assumptions!$B$18))),1))</f>
        <v>0</v>
      </c>
      <c r="E17" s="64" t="n">
        <f aca="false">IF(A17&lt;2025,0,(1/(1+EXP(-Assumptions!$C$19*(A17-Assumptions!$B$19))))/IF(Assumptions!$B$92=1,1/(1+EXP(-Assumptions!$C$19*(2060-Assumptions!$B$19))),1))</f>
        <v>0</v>
      </c>
      <c r="F17" s="64" t="n">
        <f aca="false">IF(A17&lt;2025,0,(1/(1+EXP(-Assumptions!$C$20*(A17-Assumptions!$B$20))))/IF(Assumptions!$B$92=1,1/(1+EXP(-Assumptions!$C$20*(2060-Assumptions!$B$20))),1))</f>
        <v>0</v>
      </c>
      <c r="G17" s="64" t="n">
        <f aca="false">IF(A17&lt;2025,0,(1/(1+EXP(-Assumptions!$C$21*(A17-Assumptions!$B$21))))/IF(Assumptions!$B$92=1,1/(1+EXP(-Assumptions!$C$21*(2060-Assumptions!$B$21))),1))</f>
        <v>0</v>
      </c>
    </row>
    <row r="18" customFormat="false" ht="15" hidden="false" customHeight="true" outlineLevel="0" collapsed="false">
      <c r="A18" s="5" t="n">
        <v>2024</v>
      </c>
      <c r="B18" s="64" t="n">
        <f aca="false">IF(A18&lt;2025,0,(1/(1+EXP(-Assumptions!$C$16*(A18-Assumptions!$B$16))))/IF(Assumptions!$B$92=1,1/(1+EXP(-Assumptions!$C$16*(2060-Assumptions!$B$16))),1))</f>
        <v>0</v>
      </c>
      <c r="C18" s="64" t="n">
        <f aca="false">IF(A18&lt;2025,0,(1/(1+EXP(-Assumptions!$C$17*(A18-Assumptions!$B$17))))/IF(Assumptions!$B$92=1,1/(1+EXP(-Assumptions!$C$17*(2060-Assumptions!$B$17))),1))</f>
        <v>0</v>
      </c>
      <c r="D18" s="64" t="n">
        <f aca="false">IF(A18&lt;2025,0,(1/(1+EXP(-Assumptions!$C$18*(A18-Assumptions!$B$18))))/IF(Assumptions!$B$92=1,1/(1+EXP(-Assumptions!$C$18*(2060-Assumptions!$B$18))),1))</f>
        <v>0</v>
      </c>
      <c r="E18" s="64" t="n">
        <f aca="false">IF(A18&lt;2025,0,(1/(1+EXP(-Assumptions!$C$19*(A18-Assumptions!$B$19))))/IF(Assumptions!$B$92=1,1/(1+EXP(-Assumptions!$C$19*(2060-Assumptions!$B$19))),1))</f>
        <v>0</v>
      </c>
      <c r="F18" s="64" t="n">
        <f aca="false">IF(A18&lt;2025,0,(1/(1+EXP(-Assumptions!$C$20*(A18-Assumptions!$B$20))))/IF(Assumptions!$B$92=1,1/(1+EXP(-Assumptions!$C$20*(2060-Assumptions!$B$20))),1))</f>
        <v>0</v>
      </c>
      <c r="G18" s="64" t="n">
        <f aca="false">IF(A18&lt;2025,0,(1/(1+EXP(-Assumptions!$C$21*(A18-Assumptions!$B$21))))/IF(Assumptions!$B$92=1,1/(1+EXP(-Assumptions!$C$21*(2060-Assumptions!$B$21))),1))</f>
        <v>0</v>
      </c>
    </row>
    <row r="19" customFormat="false" ht="15" hidden="false" customHeight="true" outlineLevel="0" collapsed="false">
      <c r="A19" s="5" t="n">
        <v>2025</v>
      </c>
      <c r="B19" s="64" t="n">
        <f aca="false">IF(A19&lt;2025,0,(1/(1+EXP(-Assumptions!$C$16*(A19-Assumptions!$B$16))))/IF(Assumptions!$B$92=1,1/(1+EXP(-Assumptions!$C$16*(2060-Assumptions!$B$16))),1))</f>
        <v>0.0027678851812246</v>
      </c>
      <c r="C19" s="64" t="n">
        <f aca="false">IF(A19&lt;2025,0,(1/(1+EXP(-Assumptions!$C$17*(A19-Assumptions!$B$17))))/IF(Assumptions!$B$92=1,1/(1+EXP(-Assumptions!$C$17*(2060-Assumptions!$B$17))),1))</f>
        <v>0.00261571148928488</v>
      </c>
      <c r="D19" s="64" t="n">
        <f aca="false">IF(A19&lt;2025,0,(1/(1+EXP(-Assumptions!$C$18*(A19-Assumptions!$B$18))))/IF(Assumptions!$B$92=1,1/(1+EXP(-Assumptions!$C$18*(2060-Assumptions!$B$18))),1))</f>
        <v>0.00450344053244887</v>
      </c>
      <c r="E19" s="64" t="n">
        <f aca="false">IF(A19&lt;2025,0,(1/(1+EXP(-Assumptions!$C$19*(A19-Assumptions!$B$19))))/IF(Assumptions!$B$92=1,1/(1+EXP(-Assumptions!$C$19*(2060-Assumptions!$B$19))),1))</f>
        <v>0.00351182999614235</v>
      </c>
      <c r="F19" s="64" t="n">
        <f aca="false">IF(A19&lt;2025,0,(1/(1+EXP(-Assumptions!$C$20*(A19-Assumptions!$B$20))))/IF(Assumptions!$B$92=1,1/(1+EXP(-Assumptions!$C$20*(2060-Assumptions!$B$20))),1))</f>
        <v>0.00550871473393017</v>
      </c>
      <c r="G19" s="64" t="n">
        <f aca="false">IF(A19&lt;2025,0,(1/(1+EXP(-Assumptions!$C$21*(A19-Assumptions!$B$21))))/IF(Assumptions!$B$92=1,1/(1+EXP(-Assumptions!$C$21*(2060-Assumptions!$B$21))),1))</f>
        <v>0.00407013771589613</v>
      </c>
    </row>
    <row r="20" customFormat="false" ht="15" hidden="false" customHeight="true" outlineLevel="0" collapsed="false">
      <c r="A20" s="5" t="n">
        <v>2026</v>
      </c>
      <c r="B20" s="64" t="n">
        <f aca="false">IF(A20&lt;2025,0,(1/(1+EXP(-Assumptions!$C$16*(A20-Assumptions!$B$16))))/IF(Assumptions!$B$92=1,1/(1+EXP(-Assumptions!$C$16*(2060-Assumptions!$B$16))),1))</f>
        <v>0.00365535504056686</v>
      </c>
      <c r="C20" s="64" t="n">
        <f aca="false">IF(A20&lt;2025,0,(1/(1+EXP(-Assumptions!$C$17*(A20-Assumptions!$B$17))))/IF(Assumptions!$B$92=1,1/(1+EXP(-Assumptions!$C$17*(2060-Assumptions!$B$17))),1))</f>
        <v>0.0033695528040036</v>
      </c>
      <c r="D20" s="64" t="n">
        <f aca="false">IF(A20&lt;2025,0,(1/(1+EXP(-Assumptions!$C$18*(A20-Assumptions!$B$18))))/IF(Assumptions!$B$92=1,1/(1+EXP(-Assumptions!$C$18*(2060-Assumptions!$B$18))),1))</f>
        <v>0.00562776072220755</v>
      </c>
      <c r="E20" s="64" t="n">
        <f aca="false">IF(A20&lt;2025,0,(1/(1+EXP(-Assumptions!$C$19*(A20-Assumptions!$B$19))))/IF(Assumptions!$B$92=1,1/(1+EXP(-Assumptions!$C$19*(2060-Assumptions!$B$19))),1))</f>
        <v>0.0042902961069052</v>
      </c>
      <c r="F20" s="64" t="n">
        <f aca="false">IF(A20&lt;2025,0,(1/(1+EXP(-Assumptions!$C$20*(A20-Assumptions!$B$20))))/IF(Assumptions!$B$92=1,1/(1+EXP(-Assumptions!$C$20*(2060-Assumptions!$B$20))),1))</f>
        <v>0.00694406261300758</v>
      </c>
      <c r="G20" s="64" t="n">
        <f aca="false">IF(A20&lt;2025,0,(1/(1+EXP(-Assumptions!$C$21*(A20-Assumptions!$B$21))))/IF(Assumptions!$B$92=1,1/(1+EXP(-Assumptions!$C$21*(2060-Assumptions!$B$21))),1))</f>
        <v>0.00506662933346625</v>
      </c>
    </row>
    <row r="21" customFormat="false" ht="15" hidden="false" customHeight="true" outlineLevel="0" collapsed="false">
      <c r="A21" s="5" t="n">
        <v>2027</v>
      </c>
      <c r="B21" s="64" t="n">
        <f aca="false">IF(A21&lt;2025,0,(1/(1+EXP(-Assumptions!$C$16*(A21-Assumptions!$B$16))))/IF(Assumptions!$B$92=1,1/(1+EXP(-Assumptions!$C$16*(2060-Assumptions!$B$16))),1))</f>
        <v>0.00482599821838183</v>
      </c>
      <c r="C21" s="64" t="n">
        <f aca="false">IF(A21&lt;2025,0,(1/(1+EXP(-Assumptions!$C$17*(A21-Assumptions!$B$17))))/IF(Assumptions!$B$92=1,1/(1+EXP(-Assumptions!$C$17*(2060-Assumptions!$B$17))),1))</f>
        <v>0.00433970394863802</v>
      </c>
      <c r="D21" s="64" t="n">
        <f aca="false">IF(A21&lt;2025,0,(1/(1+EXP(-Assumptions!$C$18*(A21-Assumptions!$B$18))))/IF(Assumptions!$B$92=1,1/(1+EXP(-Assumptions!$C$18*(2060-Assumptions!$B$18))),1))</f>
        <v>0.00703079405947077</v>
      </c>
      <c r="E21" s="64" t="n">
        <f aca="false">IF(A21&lt;2025,0,(1/(1+EXP(-Assumptions!$C$19*(A21-Assumptions!$B$19))))/IF(Assumptions!$B$92=1,1/(1+EXP(-Assumptions!$C$19*(2060-Assumptions!$B$19))),1))</f>
        <v>0.00524041703918911</v>
      </c>
      <c r="F21" s="64" t="n">
        <f aca="false">IF(A21&lt;2025,0,(1/(1+EXP(-Assumptions!$C$20*(A21-Assumptions!$B$20))))/IF(Assumptions!$B$92=1,1/(1+EXP(-Assumptions!$C$20*(2060-Assumptions!$B$20))),1))</f>
        <v>0.00875011338492979</v>
      </c>
      <c r="G21" s="64" t="n">
        <f aca="false">IF(A21&lt;2025,0,(1/(1+EXP(-Assumptions!$C$21*(A21-Assumptions!$B$21))))/IF(Assumptions!$B$92=1,1/(1+EXP(-Assumptions!$C$21*(2060-Assumptions!$B$21))),1))</f>
        <v>0.00630554728733586</v>
      </c>
    </row>
    <row r="22" customFormat="false" ht="15" hidden="false" customHeight="true" outlineLevel="0" collapsed="false">
      <c r="A22" s="5" t="n">
        <v>2028</v>
      </c>
      <c r="B22" s="64" t="n">
        <f aca="false">IF(A22&lt;2025,0,(1/(1+EXP(-Assumptions!$C$16*(A22-Assumptions!$B$16))))/IF(Assumptions!$B$92=1,1/(1+EXP(-Assumptions!$C$16*(2060-Assumptions!$B$16))),1))</f>
        <v>0.00636914833380521</v>
      </c>
      <c r="C22" s="64" t="n">
        <f aca="false">IF(A22&lt;2025,0,(1/(1+EXP(-Assumptions!$C$17*(A22-Assumptions!$B$17))))/IF(Assumptions!$B$92=1,1/(1+EXP(-Assumptions!$C$17*(2060-Assumptions!$B$17))),1))</f>
        <v>0.00558761196333245</v>
      </c>
      <c r="D22" s="64" t="n">
        <f aca="false">IF(A22&lt;2025,0,(1/(1+EXP(-Assumptions!$C$18*(A22-Assumptions!$B$18))))/IF(Assumptions!$B$92=1,1/(1+EXP(-Assumptions!$C$18*(2060-Assumptions!$B$18))),1))</f>
        <v>0.00878052306066321</v>
      </c>
      <c r="E22" s="64" t="n">
        <f aca="false">IF(A22&lt;2025,0,(1/(1+EXP(-Assumptions!$C$19*(A22-Assumptions!$B$19))))/IF(Assumptions!$B$92=1,1/(1+EXP(-Assumptions!$C$19*(2060-Assumptions!$B$19))),1))</f>
        <v>0.00639959761769094</v>
      </c>
      <c r="F22" s="64" t="n">
        <f aca="false">IF(A22&lt;2025,0,(1/(1+EXP(-Assumptions!$C$20*(A22-Assumptions!$B$20))))/IF(Assumptions!$B$92=1,1/(1+EXP(-Assumptions!$C$20*(2060-Assumptions!$B$20))),1))</f>
        <v>0.011020679058131</v>
      </c>
      <c r="G22" s="64" t="n">
        <f aca="false">IF(A22&lt;2025,0,(1/(1+EXP(-Assumptions!$C$21*(A22-Assumptions!$B$21))))/IF(Assumptions!$B$92=1,1/(1+EXP(-Assumptions!$C$21*(2060-Assumptions!$B$21))),1))</f>
        <v>0.00784502303045563</v>
      </c>
    </row>
    <row r="23" customFormat="false" ht="15" hidden="false" customHeight="true" outlineLevel="0" collapsed="false">
      <c r="A23" s="5" t="n">
        <v>2029</v>
      </c>
      <c r="B23" s="64" t="n">
        <f aca="false">IF(A23&lt;2025,0,(1/(1+EXP(-Assumptions!$C$16*(A23-Assumptions!$B$16))))/IF(Assumptions!$B$92=1,1/(1+EXP(-Assumptions!$C$16*(2060-Assumptions!$B$16))),1))</f>
        <v>0.00840156686516337</v>
      </c>
      <c r="C23" s="64" t="n">
        <f aca="false">IF(A23&lt;2025,0,(1/(1+EXP(-Assumptions!$C$17*(A23-Assumptions!$B$17))))/IF(Assumptions!$B$92=1,1/(1+EXP(-Assumptions!$C$17*(2060-Assumptions!$B$17))),1))</f>
        <v>0.00719177147700169</v>
      </c>
      <c r="D23" s="64" t="n">
        <f aca="false">IF(A23&lt;2025,0,(1/(1+EXP(-Assumptions!$C$18*(A23-Assumptions!$B$18))))/IF(Assumptions!$B$92=1,1/(1+EXP(-Assumptions!$C$18*(2060-Assumptions!$B$18))),1))</f>
        <v>0.0109608942629438</v>
      </c>
      <c r="E23" s="64" t="n">
        <f aca="false">IF(A23&lt;2025,0,(1/(1+EXP(-Assumptions!$C$19*(A23-Assumptions!$B$19))))/IF(Assumptions!$B$92=1,1/(1+EXP(-Assumptions!$C$19*(2060-Assumptions!$B$19))),1))</f>
        <v>0.00781317507655756</v>
      </c>
      <c r="F23" s="64" t="n">
        <f aca="false">IF(A23&lt;2025,0,(1/(1+EXP(-Assumptions!$C$20*(A23-Assumptions!$B$20))))/IF(Assumptions!$B$92=1,1/(1+EXP(-Assumptions!$C$20*(2060-Assumptions!$B$20))),1))</f>
        <v>0.0138721880075307</v>
      </c>
      <c r="G23" s="64" t="n">
        <f aca="false">IF(A23&lt;2025,0,(1/(1+EXP(-Assumptions!$C$21*(A23-Assumptions!$B$21))))/IF(Assumptions!$B$92=1,1/(1+EXP(-Assumptions!$C$21*(2060-Assumptions!$B$21))),1))</f>
        <v>0.00975666562455136</v>
      </c>
    </row>
    <row r="24" customFormat="false" ht="15" hidden="false" customHeight="true" outlineLevel="0" collapsed="false">
      <c r="A24" s="5" t="n">
        <v>2030</v>
      </c>
      <c r="B24" s="64" t="n">
        <f aca="false">IF(A24&lt;2025,0,(1/(1+EXP(-Assumptions!$C$16*(A24-Assumptions!$B$16))))/IF(Assumptions!$B$92=1,1/(1+EXP(-Assumptions!$C$16*(2060-Assumptions!$B$16))),1))</f>
        <v>0.0110753086264218</v>
      </c>
      <c r="C24" s="64" t="n">
        <f aca="false">IF(A24&lt;2025,0,(1/(1+EXP(-Assumptions!$C$17*(A24-Assumptions!$B$17))))/IF(Assumptions!$B$92=1,1/(1+EXP(-Assumptions!$C$17*(2060-Assumptions!$B$17))),1))</f>
        <v>0.00925218762918004</v>
      </c>
      <c r="D24" s="64" t="n">
        <f aca="false">IF(A24&lt;2025,0,(1/(1+EXP(-Assumptions!$C$18*(A24-Assumptions!$B$18))))/IF(Assumptions!$B$92=1,1/(1+EXP(-Assumptions!$C$18*(2060-Assumptions!$B$18))),1))</f>
        <v>0.0136752234518476</v>
      </c>
      <c r="E24" s="64" t="n">
        <f aca="false">IF(A24&lt;2025,0,(1/(1+EXP(-Assumptions!$C$19*(A24-Assumptions!$B$19))))/IF(Assumptions!$B$92=1,1/(1+EXP(-Assumptions!$C$19*(2060-Assumptions!$B$19))),1))</f>
        <v>0.00953599442623245</v>
      </c>
      <c r="F24" s="64" t="n">
        <f aca="false">IF(A24&lt;2025,0,(1/(1+EXP(-Assumptions!$C$20*(A24-Assumptions!$B$20))))/IF(Assumptions!$B$92=1,1/(1+EXP(-Assumptions!$C$20*(2060-Assumptions!$B$20))),1))</f>
        <v>0.0174484841349754</v>
      </c>
      <c r="G24" s="64" t="n">
        <f aca="false">IF(A24&lt;2025,0,(1/(1+EXP(-Assumptions!$C$21*(A24-Assumptions!$B$21))))/IF(Assumptions!$B$92=1,1/(1+EXP(-Assumptions!$C$21*(2060-Assumptions!$B$21))),1))</f>
        <v>0.0121284349842742</v>
      </c>
    </row>
    <row r="25" customFormat="false" ht="15" hidden="false" customHeight="true" outlineLevel="0" collapsed="false">
      <c r="A25" s="5" t="n">
        <v>2031</v>
      </c>
      <c r="B25" s="64" t="n">
        <f aca="false">IF(A25&lt;2025,0,(1/(1+EXP(-Assumptions!$C$16*(A25-Assumptions!$B$16))))/IF(Assumptions!$B$92=1,1/(1+EXP(-Assumptions!$C$16*(2060-Assumptions!$B$16))),1))</f>
        <v>0.0145874329798259</v>
      </c>
      <c r="C25" s="64" t="n">
        <f aca="false">IF(A25&lt;2025,0,(1/(1+EXP(-Assumptions!$C$17*(A25-Assumptions!$B$17))))/IF(Assumptions!$B$92=1,1/(1+EXP(-Assumptions!$C$17*(2060-Assumptions!$B$17))),1))</f>
        <v>0.0118958324551801</v>
      </c>
      <c r="D25" s="64" t="n">
        <f aca="false">IF(A25&lt;2025,0,(1/(1+EXP(-Assumptions!$C$18*(A25-Assumptions!$B$18))))/IF(Assumptions!$B$92=1,1/(1+EXP(-Assumptions!$C$18*(2060-Assumptions!$B$18))),1))</f>
        <v>0.0170501349199772</v>
      </c>
      <c r="E25" s="64" t="n">
        <f aca="false">IF(A25&lt;2025,0,(1/(1+EXP(-Assumptions!$C$19*(A25-Assumptions!$B$19))))/IF(Assumptions!$B$92=1,1/(1+EXP(-Assumptions!$C$19*(2060-Assumptions!$B$19))),1))</f>
        <v>0.0116342441074359</v>
      </c>
      <c r="F25" s="64" t="n">
        <f aca="false">IF(A25&lt;2025,0,(1/(1+EXP(-Assumptions!$C$20*(A25-Assumptions!$B$20))))/IF(Assumptions!$B$92=1,1/(1+EXP(-Assumptions!$C$20*(2060-Assumptions!$B$20))),1))</f>
        <v>0.0219262613020721</v>
      </c>
      <c r="G25" s="64" t="n">
        <f aca="false">IF(A25&lt;2025,0,(1/(1+EXP(-Assumptions!$C$21*(A25-Assumptions!$B$21))))/IF(Assumptions!$B$92=1,1/(1+EXP(-Assumptions!$C$21*(2060-Assumptions!$B$21))),1))</f>
        <v>0.0150679898105928</v>
      </c>
    </row>
    <row r="26" customFormat="false" ht="15" hidden="false" customHeight="true" outlineLevel="0" collapsed="false">
      <c r="A26" s="5" t="n">
        <v>2032</v>
      </c>
      <c r="B26" s="64" t="n">
        <f aca="false">IF(A26&lt;2025,0,(1/(1+EXP(-Assumptions!$C$16*(A26-Assumptions!$B$16))))/IF(Assumptions!$B$92=1,1/(1+EXP(-Assumptions!$C$16*(2060-Assumptions!$B$16))),1))</f>
        <v>0.0191916836937597</v>
      </c>
      <c r="C26" s="64" t="n">
        <f aca="false">IF(A26&lt;2025,0,(1/(1+EXP(-Assumptions!$C$17*(A26-Assumptions!$B$17))))/IF(Assumptions!$B$92=1,1/(1+EXP(-Assumptions!$C$17*(2060-Assumptions!$B$17))),1))</f>
        <v>0.01528319851379</v>
      </c>
      <c r="D26" s="64" t="n">
        <f aca="false">IF(A26&lt;2025,0,(1/(1+EXP(-Assumptions!$C$18*(A26-Assumptions!$B$18))))/IF(Assumptions!$B$92=1,1/(1+EXP(-Assumptions!$C$18*(2060-Assumptions!$B$18))),1))</f>
        <v>0.0212400055712655</v>
      </c>
      <c r="E26" s="64" t="n">
        <f aca="false">IF(A26&lt;2025,0,(1/(1+EXP(-Assumptions!$C$19*(A26-Assumptions!$B$19))))/IF(Assumptions!$B$92=1,1/(1+EXP(-Assumptions!$C$19*(2060-Assumptions!$B$19))),1))</f>
        <v>0.0141875682389891</v>
      </c>
      <c r="F26" s="64" t="n">
        <f aca="false">IF(A26&lt;2025,0,(1/(1+EXP(-Assumptions!$C$20*(A26-Assumptions!$B$20))))/IF(Assumptions!$B$92=1,1/(1+EXP(-Assumptions!$C$20*(2060-Assumptions!$B$20))),1))</f>
        <v>0.0275209767642545</v>
      </c>
      <c r="G26" s="64" t="n">
        <f aca="false">IF(A26&lt;2025,0,(1/(1+EXP(-Assumptions!$C$21*(A26-Assumptions!$B$21))))/IF(Assumptions!$B$92=1,1/(1+EXP(-Assumptions!$C$21*(2060-Assumptions!$B$21))),1))</f>
        <v>0.0187065099543546</v>
      </c>
    </row>
    <row r="27" customFormat="false" ht="15" hidden="false" customHeight="true" outlineLevel="0" collapsed="false">
      <c r="A27" s="5" t="n">
        <v>2033</v>
      </c>
      <c r="B27" s="64" t="n">
        <f aca="false">IF(A27&lt;2025,0,(1/(1+EXP(-Assumptions!$C$16*(A27-Assumptions!$B$16))))/IF(Assumptions!$B$92=1,1/(1+EXP(-Assumptions!$C$16*(2060-Assumptions!$B$16))),1))</f>
        <v>0.0252119985206745</v>
      </c>
      <c r="C27" s="64" t="n">
        <f aca="false">IF(A27&lt;2025,0,(1/(1+EXP(-Assumptions!$C$17*(A27-Assumptions!$B$17))))/IF(Assumptions!$B$92=1,1/(1+EXP(-Assumptions!$C$17*(2060-Assumptions!$B$17))),1))</f>
        <v>0.0196159763821142</v>
      </c>
      <c r="D27" s="64" t="n">
        <f aca="false">IF(A27&lt;2025,0,(1/(1+EXP(-Assumptions!$C$18*(A27-Assumptions!$B$18))))/IF(Assumptions!$B$92=1,1/(1+EXP(-Assumptions!$C$18*(2060-Assumptions!$B$18))),1))</f>
        <v>0.0264318012385788</v>
      </c>
      <c r="E27" s="64" t="n">
        <f aca="false">IF(A27&lt;2025,0,(1/(1+EXP(-Assumptions!$C$19*(A27-Assumptions!$B$19))))/IF(Assumptions!$B$92=1,1/(1+EXP(-Assumptions!$C$19*(2060-Assumptions!$B$19))),1))</f>
        <v>0.0172914572416043</v>
      </c>
      <c r="F27" s="64" t="n">
        <f aca="false">IF(A27&lt;2025,0,(1/(1+EXP(-Assumptions!$C$20*(A27-Assumptions!$B$20))))/IF(Assumptions!$B$92=1,1/(1+EXP(-Assumptions!$C$20*(2060-Assumptions!$B$20))),1))</f>
        <v>0.0344928983277678</v>
      </c>
      <c r="G27" s="64" t="n">
        <f aca="false">IF(A27&lt;2025,0,(1/(1+EXP(-Assumptions!$C$21*(A27-Assumptions!$B$21))))/IF(Assumptions!$B$92=1,1/(1+EXP(-Assumptions!$C$21*(2060-Assumptions!$B$21))),1))</f>
        <v>0.0232029381456441</v>
      </c>
    </row>
    <row r="28" customFormat="false" ht="15" hidden="false" customHeight="true" outlineLevel="0" collapsed="false">
      <c r="A28" s="5" t="n">
        <v>2034</v>
      </c>
      <c r="B28" s="64" t="n">
        <f aca="false">IF(A28&lt;2025,0,(1/(1+EXP(-Assumptions!$C$16*(A28-Assumptions!$B$16))))/IF(Assumptions!$B$92=1,1/(1+EXP(-Assumptions!$C$16*(2060-Assumptions!$B$16))),1))</f>
        <v>0.0330571983179038</v>
      </c>
      <c r="C28" s="64" t="n">
        <f aca="false">IF(A28&lt;2025,0,(1/(1+EXP(-Assumptions!$C$17*(A28-Assumptions!$B$17))))/IF(Assumptions!$B$92=1,1/(1+EXP(-Assumptions!$C$17*(2060-Assumptions!$B$17))),1))</f>
        <v>0.0251457273609037</v>
      </c>
      <c r="D28" s="64" t="n">
        <f aca="false">IF(A28&lt;2025,0,(1/(1+EXP(-Assumptions!$C$18*(A28-Assumptions!$B$18))))/IF(Assumptions!$B$92=1,1/(1+EXP(-Assumptions!$C$18*(2060-Assumptions!$B$18))),1))</f>
        <v>0.0328500590118353</v>
      </c>
      <c r="E28" s="64" t="n">
        <f aca="false">IF(A28&lt;2025,0,(1/(1+EXP(-Assumptions!$C$19*(A28-Assumptions!$B$19))))/IF(Assumptions!$B$92=1,1/(1+EXP(-Assumptions!$C$19*(2060-Assumptions!$B$19))),1))</f>
        <v>0.0210598937618892</v>
      </c>
      <c r="F28" s="64" t="n">
        <f aca="false">IF(A28&lt;2025,0,(1/(1+EXP(-Assumptions!$C$20*(A28-Assumptions!$B$20))))/IF(Assumptions!$B$92=1,1/(1+EXP(-Assumptions!$C$20*(2060-Assumptions!$B$20))),1))</f>
        <v>0.0431526516735543</v>
      </c>
      <c r="G28" s="64" t="n">
        <f aca="false">IF(A28&lt;2025,0,(1/(1+EXP(-Assumptions!$C$21*(A28-Assumptions!$B$21))))/IF(Assumptions!$B$92=1,1/(1+EXP(-Assumptions!$C$21*(2060-Assumptions!$B$21))),1))</f>
        <v>0.02874849592654</v>
      </c>
    </row>
    <row r="29" customFormat="false" ht="15" hidden="false" customHeight="true" outlineLevel="0" collapsed="false">
      <c r="A29" s="5" t="n">
        <v>2035</v>
      </c>
      <c r="B29" s="64" t="n">
        <f aca="false">IF(A29&lt;2025,0,(1/(1+EXP(-Assumptions!$C$16*(A29-Assumptions!$B$16))))/IF(Assumptions!$B$92=1,1/(1+EXP(-Assumptions!$C$16*(2060-Assumptions!$B$16))),1))</f>
        <v>0.0432353081694589</v>
      </c>
      <c r="C29" s="64" t="n">
        <f aca="false">IF(A29&lt;2025,0,(1/(1+EXP(-Assumptions!$C$17*(A29-Assumptions!$B$17))))/IF(Assumptions!$B$92=1,1/(1+EXP(-Assumptions!$C$17*(2060-Assumptions!$B$17))),1))</f>
        <v>0.0321831450528524</v>
      </c>
      <c r="D29" s="64" t="n">
        <f aca="false">IF(A29&lt;2025,0,(1/(1+EXP(-Assumptions!$C$18*(A29-Assumptions!$B$18))))/IF(Assumptions!$B$92=1,1/(1+EXP(-Assumptions!$C$18*(2060-Assumptions!$B$18))),1))</f>
        <v>0.0407615677236015</v>
      </c>
      <c r="E29" s="64" t="n">
        <f aca="false">IF(A29&lt;2025,0,(1/(1+EXP(-Assumptions!$C$19*(A29-Assumptions!$B$19))))/IF(Assumptions!$B$92=1,1/(1+EXP(-Assumptions!$C$19*(2060-Assumptions!$B$19))),1))</f>
        <v>0.0256281912085575</v>
      </c>
      <c r="F29" s="64" t="n">
        <f aca="false">IF(A29&lt;2025,0,(1/(1+EXP(-Assumptions!$C$20*(A29-Assumptions!$B$20))))/IF(Assumptions!$B$92=1,1/(1+EXP(-Assumptions!$C$20*(2060-Assumptions!$B$20))),1))</f>
        <v>0.0538652216233909</v>
      </c>
      <c r="G29" s="64" t="n">
        <f aca="false">IF(A29&lt;2025,0,(1/(1+EXP(-Assumptions!$C$21*(A29-Assumptions!$B$21))))/IF(Assumptions!$B$92=1,1/(1+EXP(-Assumptions!$C$21*(2060-Assumptions!$B$21))),1))</f>
        <v>0.0355711892726362</v>
      </c>
    </row>
    <row r="30" customFormat="false" ht="15" hidden="false" customHeight="true" outlineLevel="0" collapsed="false">
      <c r="A30" s="5" t="n">
        <v>2036</v>
      </c>
      <c r="B30" s="64" t="n">
        <f aca="false">IF(A30&lt;2025,0,(1/(1+EXP(-Assumptions!$C$16*(A30-Assumptions!$B$16))))/IF(Assumptions!$B$92=1,1/(1+EXP(-Assumptions!$C$16*(2060-Assumptions!$B$16))),1))</f>
        <v>0.0563645234554725</v>
      </c>
      <c r="C30" s="64" t="n">
        <f aca="false">IF(A30&lt;2025,0,(1/(1+EXP(-Assumptions!$C$17*(A30-Assumptions!$B$17))))/IF(Assumptions!$B$92=1,1/(1+EXP(-Assumptions!$C$17*(2060-Assumptions!$B$17))),1))</f>
        <v>0.0411070422079727</v>
      </c>
      <c r="D30" s="64" t="n">
        <f aca="false">IF(A30&lt;2025,0,(1/(1+EXP(-Assumptions!$C$18*(A30-Assumptions!$B$18))))/IF(Assumptions!$B$92=1,1/(1+EXP(-Assumptions!$C$18*(2060-Assumptions!$B$18))),1))</f>
        <v>0.0504790114411169</v>
      </c>
      <c r="E30" s="64" t="n">
        <f aca="false">IF(A30&lt;2025,0,(1/(1+EXP(-Assumptions!$C$19*(A30-Assumptions!$B$19))))/IF(Assumptions!$B$92=1,1/(1+EXP(-Assumptions!$C$19*(2060-Assumptions!$B$19))),1))</f>
        <v>0.0311559023555389</v>
      </c>
      <c r="F30" s="64" t="n">
        <f aca="false">IF(A30&lt;2025,0,(1/(1+EXP(-Assumptions!$C$20*(A30-Assumptions!$B$20))))/IF(Assumptions!$B$92=1,1/(1+EXP(-Assumptions!$C$20*(2060-Assumptions!$B$20))),1))</f>
        <v>0.0670508131551197</v>
      </c>
      <c r="G30" s="64" t="n">
        <f aca="false">IF(A30&lt;2025,0,(1/(1+EXP(-Assumptions!$C$21*(A30-Assumptions!$B$21))))/IF(Assumptions!$B$92=1,1/(1+EXP(-Assumptions!$C$21*(2060-Assumptions!$B$21))),1))</f>
        <v>0.0439398153961413</v>
      </c>
    </row>
    <row r="31" customFormat="false" ht="15" hidden="false" customHeight="true" outlineLevel="0" collapsed="false">
      <c r="A31" s="5" t="n">
        <v>2037</v>
      </c>
      <c r="B31" s="64" t="n">
        <f aca="false">IF(A31&lt;2025,0,(1/(1+EXP(-Assumptions!$C$16*(A31-Assumptions!$B$16))))/IF(Assumptions!$B$92=1,1/(1+EXP(-Assumptions!$C$16*(2060-Assumptions!$B$16))),1))</f>
        <v>0.0731757415622708</v>
      </c>
      <c r="C31" s="64" t="n">
        <f aca="false">IF(A31&lt;2025,0,(1/(1+EXP(-Assumptions!$C$17*(A31-Assumptions!$B$17))))/IF(Assumptions!$B$92=1,1/(1+EXP(-Assumptions!$C$17*(2060-Assumptions!$B$17))),1))</f>
        <v>0.0523714998799013</v>
      </c>
      <c r="D31" s="64" t="n">
        <f aca="false">IF(A31&lt;2025,0,(1/(1+EXP(-Assumptions!$C$18*(A31-Assumptions!$B$18))))/IF(Assumptions!$B$92=1,1/(1+EXP(-Assumptions!$C$18*(2060-Assumptions!$B$18))),1))</f>
        <v>0.0623624579324579</v>
      </c>
      <c r="E31" s="64" t="n">
        <f aca="false">IF(A31&lt;2025,0,(1/(1+EXP(-Assumptions!$C$19*(A31-Assumptions!$B$19))))/IF(Assumptions!$B$92=1,1/(1+EXP(-Assumptions!$C$19*(2060-Assumptions!$B$19))),1))</f>
        <v>0.0378295891163632</v>
      </c>
      <c r="F31" s="64" t="n">
        <f aca="false">IF(A31&lt;2025,0,(1/(1+EXP(-Assumptions!$C$20*(A31-Assumptions!$B$20))))/IF(Assumptions!$B$92=1,1/(1+EXP(-Assumptions!$C$20*(2060-Assumptions!$B$20))),1))</f>
        <v>0.0831803223116869</v>
      </c>
      <c r="G31" s="64" t="n">
        <f aca="false">IF(A31&lt;2025,0,(1/(1+EXP(-Assumptions!$C$21*(A31-Assumptions!$B$21))))/IF(Assumptions!$B$92=1,1/(1+EXP(-Assumptions!$C$21*(2060-Assumptions!$B$21))),1))</f>
        <v>0.0541667004812361</v>
      </c>
    </row>
    <row r="32" customFormat="false" ht="15" hidden="false" customHeight="true" outlineLevel="0" collapsed="false">
      <c r="A32" s="5" t="n">
        <v>2038</v>
      </c>
      <c r="B32" s="64" t="n">
        <f aca="false">IF(A32&lt;2025,0,(1/(1+EXP(-Assumptions!$C$16*(A32-Assumptions!$B$16))))/IF(Assumptions!$B$92=1,1/(1+EXP(-Assumptions!$C$16*(2060-Assumptions!$B$16))),1))</f>
        <v>0.0944989254910429</v>
      </c>
      <c r="C32" s="64" t="n">
        <f aca="false">IF(A32&lt;2025,0,(1/(1+EXP(-Assumptions!$C$17*(A32-Assumptions!$B$17))))/IF(Assumptions!$B$92=1,1/(1+EXP(-Assumptions!$C$17*(2060-Assumptions!$B$17))),1))</f>
        <v>0.0665086302783516</v>
      </c>
      <c r="D32" s="64" t="n">
        <f aca="false">IF(A32&lt;2025,0,(1/(1+EXP(-Assumptions!$C$18*(A32-Assumptions!$B$18))))/IF(Assumptions!$B$92=1,1/(1+EXP(-Assumptions!$C$18*(2060-Assumptions!$B$18))),1))</f>
        <v>0.0768171071932168</v>
      </c>
      <c r="E32" s="64" t="n">
        <f aca="false">IF(A32&lt;2025,0,(1/(1+EXP(-Assumptions!$C$19*(A32-Assumptions!$B$19))))/IF(Assumptions!$B$92=1,1/(1+EXP(-Assumptions!$C$19*(2060-Assumptions!$B$19))),1))</f>
        <v>0.0458651256789333</v>
      </c>
      <c r="F32" s="64" t="n">
        <f aca="false">IF(A32&lt;2025,0,(1/(1+EXP(-Assumptions!$C$20*(A32-Assumptions!$B$20))))/IF(Assumptions!$B$92=1,1/(1+EXP(-Assumptions!$C$20*(2060-Assumptions!$B$20))),1))</f>
        <v>0.10276250903539</v>
      </c>
      <c r="G32" s="64" t="n">
        <f aca="false">IF(A32&lt;2025,0,(1/(1+EXP(-Assumptions!$C$21*(A32-Assumptions!$B$21))))/IF(Assumptions!$B$92=1,1/(1+EXP(-Assumptions!$C$21*(2060-Assumptions!$B$21))),1))</f>
        <v>0.0666080355750907</v>
      </c>
    </row>
    <row r="33" customFormat="false" ht="15" hidden="false" customHeight="true" outlineLevel="0" collapsed="false">
      <c r="A33" s="5" t="n">
        <v>2039</v>
      </c>
      <c r="B33" s="64" t="n">
        <f aca="false">IF(A33&lt;2025,0,(1/(1+EXP(-Assumptions!$C$16*(A33-Assumptions!$B$16))))/IF(Assumptions!$B$92=1,1/(1+EXP(-Assumptions!$C$16*(2060-Assumptions!$B$16))),1))</f>
        <v>0.121222930065134</v>
      </c>
      <c r="C33" s="64" t="n">
        <f aca="false">IF(A33&lt;2025,0,(1/(1+EXP(-Assumptions!$C$17*(A33-Assumptions!$B$17))))/IF(Assumptions!$B$92=1,1/(1+EXP(-Assumptions!$C$17*(2060-Assumptions!$B$17))),1))</f>
        <v>0.0841231589193574</v>
      </c>
      <c r="D33" s="64" t="n">
        <f aca="false">IF(A33&lt;2025,0,(1/(1+EXP(-Assumptions!$C$18*(A33-Assumptions!$B$18))))/IF(Assumptions!$B$92=1,1/(1+EXP(-Assumptions!$C$18*(2060-Assumptions!$B$18))),1))</f>
        <v>0.0942852200503817</v>
      </c>
      <c r="E33" s="64" t="n">
        <f aca="false">IF(A33&lt;2025,0,(1/(1+EXP(-Assumptions!$C$19*(A33-Assumptions!$B$19))))/IF(Assumptions!$B$92=1,1/(1+EXP(-Assumptions!$C$19*(2060-Assumptions!$B$19))),1))</f>
        <v>0.0555090518131762</v>
      </c>
      <c r="F33" s="64" t="n">
        <f aca="false">IF(A33&lt;2025,0,(1/(1+EXP(-Assumptions!$C$20*(A33-Assumptions!$B$20))))/IF(Assumptions!$B$92=1,1/(1+EXP(-Assumptions!$C$20*(2060-Assumptions!$B$20))),1))</f>
        <v>0.126319537130833</v>
      </c>
      <c r="G33" s="64" t="n">
        <f aca="false">IF(A33&lt;2025,0,(1/(1+EXP(-Assumptions!$C$21*(A33-Assumptions!$B$21))))/IF(Assumptions!$B$92=1,1/(1+EXP(-Assumptions!$C$21*(2060-Assumptions!$B$21))),1))</f>
        <v>0.0816602554615947</v>
      </c>
    </row>
    <row r="34" customFormat="false" ht="15" hidden="false" customHeight="true" outlineLevel="0" collapsed="false">
      <c r="A34" s="5" t="n">
        <v>2040</v>
      </c>
      <c r="B34" s="64" t="n">
        <f aca="false">IF(A34&lt;2025,0,(1/(1+EXP(-Assumptions!$C$16*(A34-Assumptions!$B$16))))/IF(Assumptions!$B$92=1,1/(1+EXP(-Assumptions!$C$16*(2060-Assumptions!$B$16))),1))</f>
        <v>0.154217277047018</v>
      </c>
      <c r="C34" s="64" t="n">
        <f aca="false">IF(A34&lt;2025,0,(1/(1+EXP(-Assumptions!$C$17*(A34-Assumptions!$B$17))))/IF(Assumptions!$B$92=1,1/(1+EXP(-Assumptions!$C$17*(2060-Assumptions!$B$17))),1))</f>
        <v>0.105873715723437</v>
      </c>
      <c r="D34" s="64" t="n">
        <f aca="false">IF(A34&lt;2025,0,(1/(1+EXP(-Assumptions!$C$18*(A34-Assumptions!$B$18))))/IF(Assumptions!$B$92=1,1/(1+EXP(-Assumptions!$C$18*(2060-Assumptions!$B$18))),1))</f>
        <v>0.11522975462203</v>
      </c>
      <c r="E34" s="64" t="n">
        <f aca="false">IF(A34&lt;2025,0,(1/(1+EXP(-Assumptions!$C$19*(A34-Assumptions!$B$19))))/IF(Assumptions!$B$92=1,1/(1+EXP(-Assumptions!$C$19*(2060-Assumptions!$B$19))),1))</f>
        <v>0.0670383032380715</v>
      </c>
      <c r="F34" s="64" t="n">
        <f aca="false">IF(A34&lt;2025,0,(1/(1+EXP(-Assumptions!$C$20*(A34-Assumptions!$B$20))))/IF(Assumptions!$B$92=1,1/(1+EXP(-Assumptions!$C$20*(2060-Assumptions!$B$20))),1))</f>
        <v>0.154347756462178</v>
      </c>
      <c r="G34" s="64" t="n">
        <f aca="false">IF(A34&lt;2025,0,(1/(1+EXP(-Assumptions!$C$21*(A34-Assumptions!$B$21))))/IF(Assumptions!$B$92=1,1/(1+EXP(-Assumptions!$C$21*(2060-Assumptions!$B$21))),1))</f>
        <v>0.0997504891196851</v>
      </c>
    </row>
    <row r="35" customFormat="false" ht="15" hidden="false" customHeight="true" outlineLevel="0" collapsed="false">
      <c r="A35" s="5" t="n">
        <v>2041</v>
      </c>
      <c r="B35" s="64" t="n">
        <f aca="false">IF(A35&lt;2025,0,(1/(1+EXP(-Assumptions!$C$16*(A35-Assumptions!$B$16))))/IF(Assumptions!$B$92=1,1/(1+EXP(-Assumptions!$C$16*(2060-Assumptions!$B$16))),1))</f>
        <v>0.194207357609332</v>
      </c>
      <c r="C35" s="64" t="n">
        <f aca="false">IF(A35&lt;2025,0,(1/(1+EXP(-Assumptions!$C$17*(A35-Assumptions!$B$17))))/IF(Assumptions!$B$92=1,1/(1+EXP(-Assumptions!$C$17*(2060-Assumptions!$B$17))),1))</f>
        <v>0.132434825122257</v>
      </c>
      <c r="D35" s="64" t="n">
        <f aca="false">IF(A35&lt;2025,0,(1/(1+EXP(-Assumptions!$C$18*(A35-Assumptions!$B$18))))/IF(Assumptions!$B$92=1,1/(1+EXP(-Assumptions!$C$18*(2060-Assumptions!$B$18))),1))</f>
        <v>0.140107186317382</v>
      </c>
      <c r="E35" s="64" t="n">
        <f aca="false">IF(A35&lt;2025,0,(1/(1+EXP(-Assumptions!$C$19*(A35-Assumptions!$B$19))))/IF(Assumptions!$B$92=1,1/(1+EXP(-Assumptions!$C$19*(2060-Assumptions!$B$19))),1))</f>
        <v>0.0807574349900365</v>
      </c>
      <c r="F35" s="64" t="n">
        <f aca="false">IF(A35&lt;2025,0,(1/(1+EXP(-Assumptions!$C$20*(A35-Assumptions!$B$20))))/IF(Assumptions!$B$92=1,1/(1+EXP(-Assumptions!$C$20*(2060-Assumptions!$B$20))),1))</f>
        <v>0.187262013483868</v>
      </c>
      <c r="G35" s="64" t="n">
        <f aca="false">IF(A35&lt;2025,0,(1/(1+EXP(-Assumptions!$C$21*(A35-Assumptions!$B$21))))/IF(Assumptions!$B$92=1,1/(1+EXP(-Assumptions!$C$21*(2060-Assumptions!$B$21))),1))</f>
        <v>0.121318837891737</v>
      </c>
    </row>
    <row r="36" customFormat="false" ht="15" hidden="false" customHeight="true" outlineLevel="0" collapsed="false">
      <c r="A36" s="5" t="n">
        <v>2042</v>
      </c>
      <c r="B36" s="64" t="n">
        <f aca="false">IF(A36&lt;2025,0,(1/(1+EXP(-Assumptions!$C$16*(A36-Assumptions!$B$16))))/IF(Assumptions!$B$92=1,1/(1+EXP(-Assumptions!$C$16*(2060-Assumptions!$B$16))),1))</f>
        <v>0.24160503607497</v>
      </c>
      <c r="C36" s="64" t="n">
        <f aca="false">IF(A36&lt;2025,0,(1/(1+EXP(-Assumptions!$C$17*(A36-Assumptions!$B$17))))/IF(Assumptions!$B$92=1,1/(1+EXP(-Assumptions!$C$17*(2060-Assumptions!$B$17))),1))</f>
        <v>0.164434009018385</v>
      </c>
      <c r="D36" s="64" t="n">
        <f aca="false">IF(A36&lt;2025,0,(1/(1+EXP(-Assumptions!$C$18*(A36-Assumptions!$B$18))))/IF(Assumptions!$B$92=1,1/(1+EXP(-Assumptions!$C$18*(2060-Assumptions!$B$18))),1))</f>
        <v>0.169327627179289</v>
      </c>
      <c r="E36" s="64" t="n">
        <f aca="false">IF(A36&lt;2025,0,(1/(1+EXP(-Assumptions!$C$19*(A36-Assumptions!$B$19))))/IF(Assumptions!$B$92=1,1/(1+EXP(-Assumptions!$C$19*(2060-Assumptions!$B$19))),1))</f>
        <v>0.0969922550342583</v>
      </c>
      <c r="F36" s="64" t="n">
        <f aca="false">IF(A36&lt;2025,0,(1/(1+EXP(-Assumptions!$C$20*(A36-Assumptions!$B$20))))/IF(Assumptions!$B$92=1,1/(1+EXP(-Assumptions!$C$20*(2060-Assumptions!$B$20))),1))</f>
        <v>0.225324961967965</v>
      </c>
      <c r="G36" s="64" t="n">
        <f aca="false">IF(A36&lt;2025,0,(1/(1+EXP(-Assumptions!$C$21*(A36-Assumptions!$B$21))))/IF(Assumptions!$B$92=1,1/(1+EXP(-Assumptions!$C$21*(2060-Assumptions!$B$21))),1))</f>
        <v>0.146790339801382</v>
      </c>
    </row>
    <row r="37" customFormat="false" ht="15" hidden="false" customHeight="true" outlineLevel="0" collapsed="false">
      <c r="A37" s="5" t="n">
        <v>2043</v>
      </c>
      <c r="B37" s="64" t="n">
        <f aca="false">IF(A37&lt;2025,0,(1/(1+EXP(-Assumptions!$C$16*(A37-Assumptions!$B$16))))/IF(Assumptions!$B$92=1,1/(1+EXP(-Assumptions!$C$16*(2060-Assumptions!$B$16))),1))</f>
        <v>0.296316612883301</v>
      </c>
      <c r="C37" s="64" t="n">
        <f aca="false">IF(A37&lt;2025,0,(1/(1+EXP(-Assumptions!$C$17*(A37-Assumptions!$B$17))))/IF(Assumptions!$B$92=1,1/(1+EXP(-Assumptions!$C$17*(2060-Assumptions!$B$17))),1))</f>
        <v>0.202361465355273</v>
      </c>
      <c r="D37" s="64" t="n">
        <f aca="false">IF(A37&lt;2025,0,(1/(1+EXP(-Assumptions!$C$18*(A37-Assumptions!$B$18))))/IF(Assumptions!$B$92=1,1/(1+EXP(-Assumptions!$C$18*(2060-Assumptions!$B$18))),1))</f>
        <v>0.203202103307546</v>
      </c>
      <c r="E37" s="64" t="n">
        <f aca="false">IF(A37&lt;2025,0,(1/(1+EXP(-Assumptions!$C$19*(A37-Assumptions!$B$19))))/IF(Assumptions!$B$92=1,1/(1+EXP(-Assumptions!$C$19*(2060-Assumptions!$B$19))),1))</f>
        <v>0.116078661234506</v>
      </c>
      <c r="F37" s="64" t="n">
        <f aca="false">IF(A37&lt;2025,0,(1/(1+EXP(-Assumptions!$C$20*(A37-Assumptions!$B$20))))/IF(Assumptions!$B$92=1,1/(1+EXP(-Assumptions!$C$20*(2060-Assumptions!$B$20))),1))</f>
        <v>0.268568022735389</v>
      </c>
      <c r="G37" s="64" t="n">
        <f aca="false">IF(A37&lt;2025,0,(1/(1+EXP(-Assumptions!$C$21*(A37-Assumptions!$B$21))))/IF(Assumptions!$B$92=1,1/(1+EXP(-Assumptions!$C$21*(2060-Assumptions!$B$21))),1))</f>
        <v>0.176535274779117</v>
      </c>
    </row>
    <row r="38" customFormat="false" ht="15" hidden="false" customHeight="true" outlineLevel="0" collapsed="false">
      <c r="A38" s="5" t="n">
        <v>2044</v>
      </c>
      <c r="B38" s="64" t="n">
        <f aca="false">IF(A38&lt;2025,0,(1/(1+EXP(-Assumptions!$C$16*(A38-Assumptions!$B$16))))/IF(Assumptions!$B$92=1,1/(1+EXP(-Assumptions!$C$16*(2060-Assumptions!$B$16))),1))</f>
        <v>0.357576136653557</v>
      </c>
      <c r="C38" s="64" t="n">
        <f aca="false">IF(A38&lt;2025,0,(1/(1+EXP(-Assumptions!$C$17*(A38-Assumptions!$B$17))))/IF(Assumptions!$B$92=1,1/(1+EXP(-Assumptions!$C$17*(2060-Assumptions!$B$17))),1))</f>
        <v>0.246456730226063</v>
      </c>
      <c r="D38" s="64" t="n">
        <f aca="false">IF(A38&lt;2025,0,(1/(1+EXP(-Assumptions!$C$18*(A38-Assumptions!$B$18))))/IF(Assumptions!$B$92=1,1/(1+EXP(-Assumptions!$C$18*(2060-Assumptions!$B$18))),1))</f>
        <v>0.241879990657661</v>
      </c>
      <c r="E38" s="64" t="n">
        <f aca="false">IF(A38&lt;2025,0,(1/(1+EXP(-Assumptions!$C$19*(A38-Assumptions!$B$19))))/IF(Assumptions!$B$92=1,1/(1+EXP(-Assumptions!$C$19*(2060-Assumptions!$B$19))),1))</f>
        <v>0.138345523692179</v>
      </c>
      <c r="F38" s="64" t="n">
        <f aca="false">IF(A38&lt;2025,0,(1/(1+EXP(-Assumptions!$C$20*(A38-Assumptions!$B$20))))/IF(Assumptions!$B$92=1,1/(1+EXP(-Assumptions!$C$20*(2060-Assumptions!$B$20))),1))</f>
        <v>0.316717106375199</v>
      </c>
      <c r="G38" s="64" t="n">
        <f aca="false">IF(A38&lt;2025,0,(1/(1+EXP(-Assumptions!$C$21*(A38-Assumptions!$B$21))))/IF(Assumptions!$B$92=1,1/(1+EXP(-Assumptions!$C$21*(2060-Assumptions!$B$21))),1))</f>
        <v>0.210818293477747</v>
      </c>
    </row>
    <row r="39" customFormat="false" ht="15" hidden="false" customHeight="true" outlineLevel="0" collapsed="false">
      <c r="A39" s="5" t="n">
        <v>2045</v>
      </c>
      <c r="B39" s="64" t="n">
        <f aca="false">IF(A39&lt;2025,0,(1/(1+EXP(-Assumptions!$C$16*(A39-Assumptions!$B$16))))/IF(Assumptions!$B$92=1,1/(1+EXP(-Assumptions!$C$16*(2060-Assumptions!$B$16))),1))</f>
        <v>0.423871593489362</v>
      </c>
      <c r="C39" s="64" t="n">
        <f aca="false">IF(A39&lt;2025,0,(1/(1+EXP(-Assumptions!$C$17*(A39-Assumptions!$B$17))))/IF(Assumptions!$B$92=1,1/(1+EXP(-Assumptions!$C$17*(2060-Assumptions!$B$17))),1))</f>
        <v>0.29658775164066</v>
      </c>
      <c r="D39" s="64" t="n">
        <f aca="false">IF(A39&lt;2025,0,(1/(1+EXP(-Assumptions!$C$18*(A39-Assumptions!$B$18))))/IF(Assumptions!$B$92=1,1/(1+EXP(-Assumptions!$C$18*(2060-Assumptions!$B$18))),1))</f>
        <v>0.285284017466223</v>
      </c>
      <c r="E39" s="64" t="n">
        <f aca="false">IF(A39&lt;2025,0,(1/(1+EXP(-Assumptions!$C$19*(A39-Assumptions!$B$19))))/IF(Assumptions!$B$92=1,1/(1+EXP(-Assumptions!$C$19*(2060-Assumptions!$B$19))),1))</f>
        <v>0.164090808448998</v>
      </c>
      <c r="F39" s="64" t="n">
        <f aca="false">IF(A39&lt;2025,0,(1/(1+EXP(-Assumptions!$C$20*(A39-Assumptions!$B$20))))/IF(Assumptions!$B$92=1,1/(1+EXP(-Assumptions!$C$20*(2060-Assumptions!$B$20))),1))</f>
        <v>0.369141861143697</v>
      </c>
      <c r="G39" s="64" t="n">
        <f aca="false">IF(A39&lt;2025,0,(1/(1+EXP(-Assumptions!$C$21*(A39-Assumptions!$B$21))))/IF(Assumptions!$B$92=1,1/(1+EXP(-Assumptions!$C$21*(2060-Assumptions!$B$21))),1))</f>
        <v>0.249739894404882</v>
      </c>
    </row>
    <row r="40" customFormat="false" ht="15" hidden="false" customHeight="true" outlineLevel="0" collapsed="false">
      <c r="A40" s="5" t="n">
        <v>2046</v>
      </c>
      <c r="B40" s="64" t="n">
        <f aca="false">IF(A40&lt;2025,0,(1/(1+EXP(-Assumptions!$C$16*(A40-Assumptions!$B$16))))/IF(Assumptions!$B$92=1,1/(1+EXP(-Assumptions!$C$16*(2060-Assumptions!$B$16))),1))</f>
        <v>0.493025452415602</v>
      </c>
      <c r="C40" s="64" t="n">
        <f aca="false">IF(A40&lt;2025,0,(1/(1+EXP(-Assumptions!$C$17*(A40-Assumptions!$B$17))))/IF(Assumptions!$B$92=1,1/(1+EXP(-Assumptions!$C$17*(2060-Assumptions!$B$17))),1))</f>
        <v>0.352150448725647</v>
      </c>
      <c r="D40" s="64" t="n">
        <f aca="false">IF(A40&lt;2025,0,(1/(1+EXP(-Assumptions!$C$18*(A40-Assumptions!$B$18))))/IF(Assumptions!$B$92=1,1/(1+EXP(-Assumptions!$C$18*(2060-Assumptions!$B$18))),1))</f>
        <v>0.333054987169313</v>
      </c>
      <c r="E40" s="64" t="n">
        <f aca="false">IF(A40&lt;2025,0,(1/(1+EXP(-Assumptions!$C$19*(A40-Assumptions!$B$19))))/IF(Assumptions!$B$92=1,1/(1+EXP(-Assumptions!$C$19*(2060-Assumptions!$B$19))),1))</f>
        <v>0.193550940019065</v>
      </c>
      <c r="F40" s="64" t="n">
        <f aca="false">IF(A40&lt;2025,0,(1/(1+EXP(-Assumptions!$C$20*(A40-Assumptions!$B$20))))/IF(Assumptions!$B$92=1,1/(1+EXP(-Assumptions!$C$20*(2060-Assumptions!$B$20))),1))</f>
        <v>0.424848707593987</v>
      </c>
      <c r="G40" s="64" t="n">
        <f aca="false">IF(A40&lt;2025,0,(1/(1+EXP(-Assumptions!$C$21*(A40-Assumptions!$B$21))))/IF(Assumptions!$B$92=1,1/(1+EXP(-Assumptions!$C$21*(2060-Assumptions!$B$21))),1))</f>
        <v>0.293177778906432</v>
      </c>
    </row>
    <row r="41" customFormat="false" ht="15" hidden="false" customHeight="true" outlineLevel="0" collapsed="false">
      <c r="A41" s="5" t="n">
        <v>2047</v>
      </c>
      <c r="B41" s="64" t="n">
        <f aca="false">IF(A41&lt;2025,0,(1/(1+EXP(-Assumptions!$C$16*(A41-Assumptions!$B$16))))/IF(Assumptions!$B$92=1,1/(1+EXP(-Assumptions!$C$16*(2060-Assumptions!$B$16))),1))</f>
        <v>0.562447229833241</v>
      </c>
      <c r="C41" s="64" t="n">
        <f aca="false">IF(A41&lt;2025,0,(1/(1+EXP(-Assumptions!$C$17*(A41-Assumptions!$B$17))))/IF(Assumptions!$B$92=1,1/(1+EXP(-Assumptions!$C$17*(2060-Assumptions!$B$17))),1))</f>
        <v>0.412025097598889</v>
      </c>
      <c r="D41" s="64" t="n">
        <f aca="false">IF(A41&lt;2025,0,(1/(1+EXP(-Assumptions!$C$18*(A41-Assumptions!$B$18))))/IF(Assumptions!$B$92=1,1/(1+EXP(-Assumptions!$C$18*(2060-Assumptions!$B$18))),1))</f>
        <v>0.384521573343945</v>
      </c>
      <c r="E41" s="64" t="n">
        <f aca="false">IF(A41&lt;2025,0,(1/(1+EXP(-Assumptions!$C$19*(A41-Assumptions!$B$19))))/IF(Assumptions!$B$92=1,1/(1+EXP(-Assumptions!$C$19*(2060-Assumptions!$B$19))),1))</f>
        <v>0.22686474579147</v>
      </c>
      <c r="F41" s="64" t="n">
        <f aca="false">IF(A41&lt;2025,0,(1/(1+EXP(-Assumptions!$C$20*(A41-Assumptions!$B$20))))/IF(Assumptions!$B$92=1,1/(1+EXP(-Assumptions!$C$20*(2060-Assumptions!$B$20))),1))</f>
        <v>0.482532111777264</v>
      </c>
      <c r="G41" s="64" t="n">
        <f aca="false">IF(A41&lt;2025,0,(1/(1+EXP(-Assumptions!$C$21*(A41-Assumptions!$B$21))))/IF(Assumptions!$B$92=1,1/(1+EXP(-Assumptions!$C$21*(2060-Assumptions!$B$21))),1))</f>
        <v>0.340739611548615</v>
      </c>
    </row>
    <row r="42" customFormat="false" ht="15" hidden="false" customHeight="true" outlineLevel="0" collapsed="false">
      <c r="A42" s="5" t="n">
        <v>2048</v>
      </c>
      <c r="B42" s="64" t="n">
        <f aca="false">IF(A42&lt;2025,0,(1/(1+EXP(-Assumptions!$C$16*(A42-Assumptions!$B$16))))/IF(Assumptions!$B$92=1,1/(1+EXP(-Assumptions!$C$16*(2060-Assumptions!$B$16))),1))</f>
        <v>0.629506435077758</v>
      </c>
      <c r="C42" s="64" t="n">
        <f aca="false">IF(A42&lt;2025,0,(1/(1+EXP(-Assumptions!$C$17*(A42-Assumptions!$B$17))))/IF(Assumptions!$B$92=1,1/(1+EXP(-Assumptions!$C$17*(2060-Assumptions!$B$17))),1))</f>
        <v>0.474621826888002</v>
      </c>
      <c r="D42" s="64" t="n">
        <f aca="false">IF(A42&lt;2025,0,(1/(1+EXP(-Assumptions!$C$18*(A42-Assumptions!$B$18))))/IF(Assumptions!$B$92=1,1/(1+EXP(-Assumptions!$C$18*(2060-Assumptions!$B$18))),1))</f>
        <v>0.438709779235748</v>
      </c>
      <c r="E42" s="64" t="n">
        <f aca="false">IF(A42&lt;2025,0,(1/(1+EXP(-Assumptions!$C$19*(A42-Assumptions!$B$19))))/IF(Assumptions!$B$92=1,1/(1+EXP(-Assumptions!$C$19*(2060-Assumptions!$B$19))),1))</f>
        <v>0.264035173554264</v>
      </c>
      <c r="F42" s="64" t="n">
        <f aca="false">IF(A42&lt;2025,0,(1/(1+EXP(-Assumptions!$C$20*(A42-Assumptions!$B$20))))/IF(Assumptions!$B$92=1,1/(1+EXP(-Assumptions!$C$20*(2060-Assumptions!$B$20))),1))</f>
        <v>0.540684849752603</v>
      </c>
      <c r="G42" s="64" t="n">
        <f aca="false">IF(A42&lt;2025,0,(1/(1+EXP(-Assumptions!$C$21*(A42-Assumptions!$B$21))))/IF(Assumptions!$B$92=1,1/(1+EXP(-Assumptions!$C$21*(2060-Assumptions!$B$21))),1))</f>
        <v>0.391740969253486</v>
      </c>
    </row>
    <row r="43" customFormat="false" ht="15" hidden="false" customHeight="true" outlineLevel="0" collapsed="false">
      <c r="A43" s="5" t="n">
        <v>2049</v>
      </c>
      <c r="B43" s="64" t="n">
        <f aca="false">IF(A43&lt;2025,0,(1/(1+EXP(-Assumptions!$C$16*(A43-Assumptions!$B$16))))/IF(Assumptions!$B$92=1,1/(1+EXP(-Assumptions!$C$16*(2060-Assumptions!$B$16))),1))</f>
        <v>0.691917686605218</v>
      </c>
      <c r="C43" s="64" t="n">
        <f aca="false">IF(A43&lt;2025,0,(1/(1+EXP(-Assumptions!$C$17*(A43-Assumptions!$B$17))))/IF(Assumptions!$B$92=1,1/(1+EXP(-Assumptions!$C$17*(2060-Assumptions!$B$17))),1))</f>
        <v>0.538026429081321</v>
      </c>
      <c r="D43" s="64" t="n">
        <f aca="false">IF(A43&lt;2025,0,(1/(1+EXP(-Assumptions!$C$18*(A43-Assumptions!$B$18))))/IF(Assumptions!$B$92=1,1/(1+EXP(-Assumptions!$C$18*(2060-Assumptions!$B$18))),1))</f>
        <v>0.494400234142923</v>
      </c>
      <c r="E43" s="64" t="n">
        <f aca="false">IF(A43&lt;2025,0,(1/(1+EXP(-Assumptions!$C$19*(A43-Assumptions!$B$19))))/IF(Assumptions!$B$92=1,1/(1+EXP(-Assumptions!$C$19*(2060-Assumptions!$B$19))),1))</f>
        <v>0.304894037449375</v>
      </c>
      <c r="F43" s="64" t="n">
        <f aca="false">IF(A43&lt;2025,0,(1/(1+EXP(-Assumptions!$C$20*(A43-Assumptions!$B$20))))/IF(Assumptions!$B$92=1,1/(1+EXP(-Assumptions!$C$20*(2060-Assumptions!$B$20))),1))</f>
        <v>0.597750283612963</v>
      </c>
      <c r="G43" s="64" t="n">
        <f aca="false">IF(A43&lt;2025,0,(1/(1+EXP(-Assumptions!$C$21*(A43-Assumptions!$B$21))))/IF(Assumptions!$B$92=1,1/(1+EXP(-Assumptions!$C$21*(2060-Assumptions!$B$21))),1))</f>
        <v>0.445220764892785</v>
      </c>
    </row>
    <row r="44" customFormat="false" ht="15" hidden="false" customHeight="true" outlineLevel="0" collapsed="false">
      <c r="A44" s="5" t="n">
        <v>2050</v>
      </c>
      <c r="B44" s="64" t="n">
        <f aca="false">IF(A44&lt;2025,0,(1/(1+EXP(-Assumptions!$C$16*(A44-Assumptions!$B$16))))/IF(Assumptions!$B$92=1,1/(1+EXP(-Assumptions!$C$16*(2060-Assumptions!$B$16))),1))</f>
        <v>0.748023770399826</v>
      </c>
      <c r="C44" s="64" t="n">
        <f aca="false">IF(A44&lt;2025,0,(1/(1+EXP(-Assumptions!$C$17*(A44-Assumptions!$B$17))))/IF(Assumptions!$B$92=1,1/(1+EXP(-Assumptions!$C$17*(2060-Assumptions!$B$17))),1))</f>
        <v>0.600224353063108</v>
      </c>
      <c r="D44" s="64" t="n">
        <f aca="false">IF(A44&lt;2025,0,(1/(1+EXP(-Assumptions!$C$18*(A44-Assumptions!$B$18))))/IF(Assumptions!$B$92=1,1/(1+EXP(-Assumptions!$C$18*(2060-Assumptions!$B$18))),1))</f>
        <v>0.550229992169932</v>
      </c>
      <c r="E44" s="64" t="n">
        <f aca="false">IF(A44&lt;2025,0,(1/(1+EXP(-Assumptions!$C$19*(A44-Assumptions!$B$19))))/IF(Assumptions!$B$92=1,1/(1+EXP(-Assumptions!$C$19*(2060-Assumptions!$B$19))),1))</f>
        <v>0.349076733560034</v>
      </c>
      <c r="F44" s="64" t="n">
        <f aca="false">IF(A44&lt;2025,0,(1/(1+EXP(-Assumptions!$C$20*(A44-Assumptions!$B$20))))/IF(Assumptions!$B$92=1,1/(1+EXP(-Assumptions!$C$20*(2060-Assumptions!$B$20))),1))</f>
        <v>0.65228536192817</v>
      </c>
      <c r="G44" s="64" t="n">
        <f aca="false">IF(A44&lt;2025,0,(1/(1+EXP(-Assumptions!$C$21*(A44-Assumptions!$B$21))))/IF(Assumptions!$B$92=1,1/(1+EXP(-Assumptions!$C$21*(2060-Assumptions!$B$21))),1))</f>
        <v>0.5</v>
      </c>
    </row>
    <row r="45" customFormat="false" ht="15" hidden="false" customHeight="true" outlineLevel="0" collapsed="false">
      <c r="A45" s="5" t="n">
        <v>2051</v>
      </c>
      <c r="B45" s="64" t="n">
        <f aca="false">IF(A45&lt;2025,0,(1/(1+EXP(-Assumptions!$C$16*(A45-Assumptions!$B$16))))/IF(Assumptions!$B$92=1,1/(1+EXP(-Assumptions!$C$16*(2060-Assumptions!$B$16))),1))</f>
        <v>0.796911210851815</v>
      </c>
      <c r="C45" s="64" t="n">
        <f aca="false">IF(A45&lt;2025,0,(1/(1+EXP(-Assumptions!$C$17*(A45-Assumptions!$B$17))))/IF(Assumptions!$B$92=1,1/(1+EXP(-Assumptions!$C$17*(2060-Assumptions!$B$17))),1))</f>
        <v>0.659350237177913</v>
      </c>
      <c r="D45" s="64" t="n">
        <f aca="false">IF(A45&lt;2025,0,(1/(1+EXP(-Assumptions!$C$18*(A45-Assumptions!$B$18))))/IF(Assumptions!$B$92=1,1/(1+EXP(-Assumptions!$C$18*(2060-Assumptions!$B$18))),1))</f>
        <v>0.60482250107563</v>
      </c>
      <c r="E45" s="64" t="n">
        <f aca="false">IF(A45&lt;2025,0,(1/(1+EXP(-Assumptions!$C$19*(A45-Assumptions!$B$19))))/IF(Assumptions!$B$92=1,1/(1+EXP(-Assumptions!$C$19*(2060-Assumptions!$B$19))),1))</f>
        <v>0.39601434794366</v>
      </c>
      <c r="F45" s="64" t="n">
        <f aca="false">IF(A45&lt;2025,0,(1/(1+EXP(-Assumptions!$C$20*(A45-Assumptions!$B$20))))/IF(Assumptions!$B$92=1,1/(1+EXP(-Assumptions!$C$20*(2060-Assumptions!$B$20))),1))</f>
        <v>0.703099217720805</v>
      </c>
      <c r="G45" s="64" t="n">
        <f aca="false">IF(A45&lt;2025,0,(1/(1+EXP(-Assumptions!$C$21*(A45-Assumptions!$B$21))))/IF(Assumptions!$B$92=1,1/(1+EXP(-Assumptions!$C$21*(2060-Assumptions!$B$21))),1))</f>
        <v>0.554779235107215</v>
      </c>
    </row>
    <row r="46" customFormat="false" ht="15" hidden="false" customHeight="true" outlineLevel="0" collapsed="false">
      <c r="A46" s="5" t="n">
        <v>2052</v>
      </c>
      <c r="B46" s="64" t="n">
        <f aca="false">IF(A46&lt;2025,0,(1/(1+EXP(-Assumptions!$C$16*(A46-Assumptions!$B$16))))/IF(Assumptions!$B$92=1,1/(1+EXP(-Assumptions!$C$16*(2060-Assumptions!$B$16))),1))</f>
        <v>0.838363257383301</v>
      </c>
      <c r="C46" s="64" t="n">
        <f aca="false">IF(A46&lt;2025,0,(1/(1+EXP(-Assumptions!$C$17*(A46-Assumptions!$B$17))))/IF(Assumptions!$B$92=1,1/(1+EXP(-Assumptions!$C$17*(2060-Assumptions!$B$17))),1))</f>
        <v>0.713899694354309</v>
      </c>
      <c r="D46" s="64" t="n">
        <f aca="false">IF(A46&lt;2025,0,(1/(1+EXP(-Assumptions!$C$18*(A46-Assumptions!$B$18))))/IF(Assumptions!$B$92=1,1/(1+EXP(-Assumptions!$C$18*(2060-Assumptions!$B$18))),1))</f>
        <v>0.656920317927394</v>
      </c>
      <c r="E46" s="64" t="n">
        <f aca="false">IF(A46&lt;2025,0,(1/(1+EXP(-Assumptions!$C$19*(A46-Assumptions!$B$19))))/IF(Assumptions!$B$92=1,1/(1+EXP(-Assumptions!$C$19*(2060-Assumptions!$B$19))),1))</f>
        <v>0.444949082132074</v>
      </c>
      <c r="F46" s="64" t="n">
        <f aca="false">IF(A46&lt;2025,0,(1/(1+EXP(-Assumptions!$C$20*(A46-Assumptions!$B$20))))/IF(Assumptions!$B$92=1,1/(1+EXP(-Assumptions!$C$20*(2060-Assumptions!$B$20))),1))</f>
        <v>0.749340867786678</v>
      </c>
      <c r="G46" s="64" t="n">
        <f aca="false">IF(A46&lt;2025,0,(1/(1+EXP(-Assumptions!$C$21*(A46-Assumptions!$B$21))))/IF(Assumptions!$B$92=1,1/(1+EXP(-Assumptions!$C$21*(2060-Assumptions!$B$21))),1))</f>
        <v>0.608259030746514</v>
      </c>
    </row>
    <row r="47" customFormat="false" ht="15" hidden="false" customHeight="true" outlineLevel="0" collapsed="false">
      <c r="A47" s="5" t="n">
        <v>2053</v>
      </c>
      <c r="B47" s="64" t="n">
        <f aca="false">IF(A47&lt;2025,0,(1/(1+EXP(-Assumptions!$C$16*(A47-Assumptions!$B$16))))/IF(Assumptions!$B$92=1,1/(1+EXP(-Assumptions!$C$16*(2060-Assumptions!$B$16))),1))</f>
        <v>0.872706071357115</v>
      </c>
      <c r="C47" s="64" t="n">
        <f aca="false">IF(A47&lt;2025,0,(1/(1+EXP(-Assumptions!$C$17*(A47-Assumptions!$B$17))))/IF(Assumptions!$B$92=1,1/(1+EXP(-Assumptions!$C$17*(2060-Assumptions!$B$17))),1))</f>
        <v>0.762855686450567</v>
      </c>
      <c r="D47" s="64" t="n">
        <f aca="false">IF(A47&lt;2025,0,(1/(1+EXP(-Assumptions!$C$18*(A47-Assumptions!$B$18))))/IF(Assumptions!$B$92=1,1/(1+EXP(-Assumptions!$C$18*(2060-Assumptions!$B$18))),1))</f>
        <v>0.705494230574855</v>
      </c>
      <c r="E47" s="64" t="n">
        <f aca="false">IF(A47&lt;2025,0,(1/(1+EXP(-Assumptions!$C$19*(A47-Assumptions!$B$19))))/IF(Assumptions!$B$92=1,1/(1+EXP(-Assumptions!$C$19*(2060-Assumptions!$B$19))),1))</f>
        <v>0.494975169172357</v>
      </c>
      <c r="F47" s="64" t="n">
        <f aca="false">IF(A47&lt;2025,0,(1/(1+EXP(-Assumptions!$C$20*(A47-Assumptions!$B$20))))/IF(Assumptions!$B$92=1,1/(1+EXP(-Assumptions!$C$20*(2060-Assumptions!$B$20))),1))</f>
        <v>0.79052617883626</v>
      </c>
      <c r="G47" s="64" t="n">
        <f aca="false">IF(A47&lt;2025,0,(1/(1+EXP(-Assumptions!$C$21*(A47-Assumptions!$B$21))))/IF(Assumptions!$B$92=1,1/(1+EXP(-Assumptions!$C$21*(2060-Assumptions!$B$21))),1))</f>
        <v>0.659260388451386</v>
      </c>
    </row>
    <row r="48" customFormat="false" ht="15" hidden="false" customHeight="true" outlineLevel="0" collapsed="false">
      <c r="A48" s="5" t="n">
        <v>2054</v>
      </c>
      <c r="B48" s="64" t="n">
        <f aca="false">IF(A48&lt;2025,0,(1/(1+EXP(-Assumptions!$C$16*(A48-Assumptions!$B$16))))/IF(Assumptions!$B$92=1,1/(1+EXP(-Assumptions!$C$16*(2060-Assumptions!$B$16))),1))</f>
        <v>0.900617088511122</v>
      </c>
      <c r="C48" s="64" t="n">
        <f aca="false">IF(A48&lt;2025,0,(1/(1+EXP(-Assumptions!$C$17*(A48-Assumptions!$B$17))))/IF(Assumptions!$B$92=1,1/(1+EXP(-Assumptions!$C$17*(2060-Assumptions!$B$17))),1))</f>
        <v>0.805714384997102</v>
      </c>
      <c r="D48" s="64" t="n">
        <f aca="false">IF(A48&lt;2025,0,(1/(1+EXP(-Assumptions!$C$18*(A48-Assumptions!$B$18))))/IF(Assumptions!$B$92=1,1/(1+EXP(-Assumptions!$C$18*(2060-Assumptions!$B$18))),1))</f>
        <v>0.749810147844649</v>
      </c>
      <c r="E48" s="64" t="n">
        <f aca="false">IF(A48&lt;2025,0,(1/(1+EXP(-Assumptions!$C$19*(A48-Assumptions!$B$19))))/IF(Assumptions!$B$92=1,1/(1+EXP(-Assumptions!$C$19*(2060-Assumptions!$B$19))),1))</f>
        <v>0.545102070640643</v>
      </c>
      <c r="F48" s="64" t="n">
        <f aca="false">IF(A48&lt;2025,0,(1/(1+EXP(-Assumptions!$C$20*(A48-Assumptions!$B$20))))/IF(Assumptions!$B$92=1,1/(1+EXP(-Assumptions!$C$20*(2060-Assumptions!$B$20))),1))</f>
        <v>0.826511139159531</v>
      </c>
      <c r="G48" s="64" t="n">
        <f aca="false">IF(A48&lt;2025,0,(1/(1+EXP(-Assumptions!$C$21*(A48-Assumptions!$B$21))))/IF(Assumptions!$B$92=1,1/(1+EXP(-Assumptions!$C$21*(2060-Assumptions!$B$21))),1))</f>
        <v>0.706822221093568</v>
      </c>
    </row>
    <row r="49" customFormat="false" ht="15" hidden="false" customHeight="true" outlineLevel="0" collapsed="false">
      <c r="A49" s="5" t="n">
        <v>2055</v>
      </c>
      <c r="B49" s="64" t="n">
        <f aca="false">IF(A49&lt;2025,0,(1/(1+EXP(-Assumptions!$C$16*(A49-Assumptions!$B$16))))/IF(Assumptions!$B$92=1,1/(1+EXP(-Assumptions!$C$16*(2060-Assumptions!$B$16))),1))</f>
        <v>0.922948542158471</v>
      </c>
      <c r="C49" s="64" t="n">
        <f aca="false">IF(A49&lt;2025,0,(1/(1+EXP(-Assumptions!$C$17*(A49-Assumptions!$B$17))))/IF(Assumptions!$B$92=1,1/(1+EXP(-Assumptions!$C$17*(2060-Assumptions!$B$17))),1))</f>
        <v>0.842427243101667</v>
      </c>
      <c r="D49" s="64" t="n">
        <f aca="false">IF(A49&lt;2025,0,(1/(1+EXP(-Assumptions!$C$18*(A49-Assumptions!$B$18))))/IF(Assumptions!$B$92=1,1/(1+EXP(-Assumptions!$C$18*(2060-Assumptions!$B$18))),1))</f>
        <v>0.789447781659974</v>
      </c>
      <c r="E49" s="64" t="n">
        <f aca="false">IF(A49&lt;2025,0,(1/(1+EXP(-Assumptions!$C$19*(A49-Assumptions!$B$19))))/IF(Assumptions!$B$92=1,1/(1+EXP(-Assumptions!$C$19*(2060-Assumptions!$B$19))),1))</f>
        <v>0.594331277973755</v>
      </c>
      <c r="F49" s="64" t="n">
        <f aca="false">IF(A49&lt;2025,0,(1/(1+EXP(-Assumptions!$C$20*(A49-Assumptions!$B$20))))/IF(Assumptions!$B$92=1,1/(1+EXP(-Assumptions!$C$20*(2060-Assumptions!$B$20))),1))</f>
        <v>0.857429213250691</v>
      </c>
      <c r="G49" s="64" t="n">
        <f aca="false">IF(A49&lt;2025,0,(1/(1+EXP(-Assumptions!$C$21*(A49-Assumptions!$B$21))))/IF(Assumptions!$B$92=1,1/(1+EXP(-Assumptions!$C$21*(2060-Assumptions!$B$21))),1))</f>
        <v>0.750260105595118</v>
      </c>
    </row>
    <row r="50" customFormat="false" ht="15" hidden="false" customHeight="true" outlineLevel="0" collapsed="false">
      <c r="A50" s="5" t="n">
        <v>2056</v>
      </c>
      <c r="B50" s="64" t="n">
        <f aca="false">IF(A50&lt;2025,0,(1/(1+EXP(-Assumptions!$C$16*(A50-Assumptions!$B$16))))/IF(Assumptions!$B$92=1,1/(1+EXP(-Assumptions!$C$16*(2060-Assumptions!$B$16))),1))</f>
        <v>0.940593085890743</v>
      </c>
      <c r="C50" s="64" t="n">
        <f aca="false">IF(A50&lt;2025,0,(1/(1+EXP(-Assumptions!$C$17*(A50-Assumptions!$B$17))))/IF(Assumptions!$B$92=1,1/(1+EXP(-Assumptions!$C$17*(2060-Assumptions!$B$17))),1))</f>
        <v>0.873293687216387</v>
      </c>
      <c r="D50" s="64" t="n">
        <f aca="false">IF(A50&lt;2025,0,(1/(1+EXP(-Assumptions!$C$18*(A50-Assumptions!$B$18))))/IF(Assumptions!$B$92=1,1/(1+EXP(-Assumptions!$C$18*(2060-Assumptions!$B$18))),1))</f>
        <v>0.824277326350216</v>
      </c>
      <c r="E50" s="64" t="n">
        <f aca="false">IF(A50&lt;2025,0,(1/(1+EXP(-Assumptions!$C$19*(A50-Assumptions!$B$19))))/IF(Assumptions!$B$92=1,1/(1+EXP(-Assumptions!$C$19*(2060-Assumptions!$B$19))),1))</f>
        <v>0.641734422955793</v>
      </c>
      <c r="F50" s="64" t="n">
        <f aca="false">IF(A50&lt;2025,0,(1/(1+EXP(-Assumptions!$C$20*(A50-Assumptions!$B$20))))/IF(Assumptions!$B$92=1,1/(1+EXP(-Assumptions!$C$20*(2060-Assumptions!$B$20))),1))</f>
        <v>0.883613170842977</v>
      </c>
      <c r="G50" s="64" t="n">
        <f aca="false">IF(A50&lt;2025,0,(1/(1+EXP(-Assumptions!$C$21*(A50-Assumptions!$B$21))))/IF(Assumptions!$B$92=1,1/(1+EXP(-Assumptions!$C$21*(2060-Assumptions!$B$21))),1))</f>
        <v>0.789181706522253</v>
      </c>
    </row>
    <row r="51" customFormat="false" ht="15" hidden="false" customHeight="true" outlineLevel="0" collapsed="false">
      <c r="A51" s="5" t="n">
        <v>2057</v>
      </c>
      <c r="B51" s="64" t="n">
        <f aca="false">IF(A51&lt;2025,0,(1/(1+EXP(-Assumptions!$C$16*(A51-Assumptions!$B$16))))/IF(Assumptions!$B$92=1,1/(1+EXP(-Assumptions!$C$16*(2060-Assumptions!$B$16))),1))</f>
        <v>0.954396729126662</v>
      </c>
      <c r="C51" s="64" t="n">
        <f aca="false">IF(A51&lt;2025,0,(1/(1+EXP(-Assumptions!$C$17*(A51-Assumptions!$B$17))))/IF(Assumptions!$B$92=1,1/(1+EXP(-Assumptions!$C$17*(2060-Assumptions!$B$17))),1))</f>
        <v>0.898839852580339</v>
      </c>
      <c r="D51" s="64" t="n">
        <f aca="false">IF(A51&lt;2025,0,(1/(1+EXP(-Assumptions!$C$18*(A51-Assumptions!$B$18))))/IF(Assumptions!$B$92=1,1/(1+EXP(-Assumptions!$C$18*(2060-Assumptions!$B$18))),1))</f>
        <v>0.854407920106088</v>
      </c>
      <c r="E51" s="64" t="n">
        <f aca="false">IF(A51&lt;2025,0,(1/(1+EXP(-Assumptions!$C$19*(A51-Assumptions!$B$19))))/IF(Assumptions!$B$92=1,1/(1+EXP(-Assumptions!$C$19*(2060-Assumptions!$B$19))),1))</f>
        <v>0.686520043927914</v>
      </c>
      <c r="F51" s="64" t="n">
        <f aca="false">IF(A51&lt;2025,0,(1/(1+EXP(-Assumptions!$C$20*(A51-Assumptions!$B$20))))/IF(Assumptions!$B$92=1,1/(1+EXP(-Assumptions!$C$20*(2060-Assumptions!$B$20))),1))</f>
        <v>0.905518186896799</v>
      </c>
      <c r="G51" s="64" t="n">
        <f aca="false">IF(A51&lt;2025,0,(1/(1+EXP(-Assumptions!$C$21*(A51-Assumptions!$B$21))))/IF(Assumptions!$B$92=1,1/(1+EXP(-Assumptions!$C$21*(2060-Assumptions!$B$21))),1))</f>
        <v>0.823464725220883</v>
      </c>
    </row>
    <row r="52" customFormat="false" ht="15" hidden="false" customHeight="true" outlineLevel="0" collapsed="false">
      <c r="A52" s="5" t="n">
        <v>2058</v>
      </c>
      <c r="B52" s="64" t="n">
        <f aca="false">IF(A52&lt;2025,0,(1/(1+EXP(-Assumptions!$C$16*(A52-Assumptions!$B$16))))/IF(Assumptions!$B$92=1,1/(1+EXP(-Assumptions!$C$16*(2060-Assumptions!$B$16))),1))</f>
        <v>0.965111958711462</v>
      </c>
      <c r="C52" s="64" t="n">
        <f aca="false">IF(A52&lt;2025,0,(1/(1+EXP(-Assumptions!$C$17*(A52-Assumptions!$B$17))))/IF(Assumptions!$B$92=1,1/(1+EXP(-Assumptions!$C$17*(2060-Assumptions!$B$17))),1))</f>
        <v>0.919709016194781</v>
      </c>
      <c r="D52" s="64" t="n">
        <f aca="false">IF(A52&lt;2025,0,(1/(1+EXP(-Assumptions!$C$18*(A52-Assumptions!$B$18))))/IF(Assumptions!$B$92=1,1/(1+EXP(-Assumptions!$C$18*(2060-Assumptions!$B$18))),1))</f>
        <v>0.880123479703286</v>
      </c>
      <c r="E52" s="64" t="n">
        <f aca="false">IF(A52&lt;2025,0,(1/(1+EXP(-Assumptions!$C$19*(A52-Assumptions!$B$19))))/IF(Assumptions!$B$92=1,1/(1+EXP(-Assumptions!$C$19*(2060-Assumptions!$B$19))),1))</f>
        <v>0.728079400739114</v>
      </c>
      <c r="F52" s="64" t="n">
        <f aca="false">IF(A52&lt;2025,0,(1/(1+EXP(-Assumptions!$C$20*(A52-Assumptions!$B$20))))/IF(Assumptions!$B$92=1,1/(1+EXP(-Assumptions!$C$20*(2060-Assumptions!$B$20))),1))</f>
        <v>0.923656686478061</v>
      </c>
      <c r="G52" s="64" t="n">
        <f aca="false">IF(A52&lt;2025,0,(1/(1+EXP(-Assumptions!$C$21*(A52-Assumptions!$B$21))))/IF(Assumptions!$B$92=1,1/(1+EXP(-Assumptions!$C$21*(2060-Assumptions!$B$21))),1))</f>
        <v>0.853209660198618</v>
      </c>
    </row>
    <row r="53" customFormat="false" ht="15" hidden="false" customHeight="true" outlineLevel="0" collapsed="false">
      <c r="A53" s="5" t="n">
        <v>2059</v>
      </c>
      <c r="B53" s="64" t="n">
        <f aca="false">IF(A53&lt;2025,0,(1/(1+EXP(-Assumptions!$C$16*(A53-Assumptions!$B$16))))/IF(Assumptions!$B$92=1,1/(1+EXP(-Assumptions!$C$16*(2060-Assumptions!$B$16))),1))</f>
        <v>0.973379695858788</v>
      </c>
      <c r="C53" s="64" t="n">
        <f aca="false">IF(A53&lt;2025,0,(1/(1+EXP(-Assumptions!$C$17*(A53-Assumptions!$B$17))))/IF(Assumptions!$B$92=1,1/(1+EXP(-Assumptions!$C$17*(2060-Assumptions!$B$17))),1))</f>
        <v>0.936576693025788</v>
      </c>
      <c r="D53" s="64" t="n">
        <f aca="false">IF(A53&lt;2025,0,(1/(1+EXP(-Assumptions!$C$18*(A53-Assumptions!$B$18))))/IF(Assumptions!$B$92=1,1/(1+EXP(-Assumptions!$C$18*(2060-Assumptions!$B$18))),1))</f>
        <v>0.901818900763861</v>
      </c>
      <c r="E53" s="64" t="n">
        <f aca="false">IF(A53&lt;2025,0,(1/(1+EXP(-Assumptions!$C$19*(A53-Assumptions!$B$19))))/IF(Assumptions!$B$92=1,1/(1+EXP(-Assumptions!$C$19*(2060-Assumptions!$B$19))),1))</f>
        <v>0.766006980695879</v>
      </c>
      <c r="F53" s="64" t="n">
        <f aca="false">IF(A53&lt;2025,0,(1/(1+EXP(-Assumptions!$C$20*(A53-Assumptions!$B$20))))/IF(Assumptions!$B$92=1,1/(1+EXP(-Assumptions!$C$20*(2060-Assumptions!$B$20))),1))</f>
        <v>0.938549290889815</v>
      </c>
      <c r="G53" s="64" t="n">
        <f aca="false">IF(A53&lt;2025,0,(1/(1+EXP(-Assumptions!$C$21*(A53-Assumptions!$B$21))))/IF(Assumptions!$B$92=1,1/(1+EXP(-Assumptions!$C$21*(2060-Assumptions!$B$21))),1))</f>
        <v>0.878681162108263</v>
      </c>
    </row>
    <row r="54" customFormat="false" ht="15" hidden="false" customHeight="true" outlineLevel="0" collapsed="false">
      <c r="A54" s="5" t="n">
        <v>2060</v>
      </c>
      <c r="B54" s="64" t="n">
        <f aca="false">IF(A54&lt;2025,0,(1/(1+EXP(-Assumptions!$C$16*(A54-Assumptions!$B$16))))/IF(Assumptions!$B$92=1,1/(1+EXP(-Assumptions!$C$16*(2060-Assumptions!$B$16))),1))</f>
        <v>0.979729303666985</v>
      </c>
      <c r="C54" s="64" t="n">
        <f aca="false">IF(A54&lt;2025,0,(1/(1+EXP(-Assumptions!$C$17*(A54-Assumptions!$B$17))))/IF(Assumptions!$B$92=1,1/(1+EXP(-Assumptions!$C$17*(2060-Assumptions!$B$17))),1))</f>
        <v>0.950093066332511</v>
      </c>
      <c r="D54" s="64" t="n">
        <f aca="false">IF(A54&lt;2025,0,(1/(1+EXP(-Assumptions!$C$18*(A54-Assumptions!$B$18))))/IF(Assumptions!$B$92=1,1/(1+EXP(-Assumptions!$C$18*(2060-Assumptions!$B$18))),1))</f>
        <v>0.919945000943165</v>
      </c>
      <c r="E54" s="64" t="n">
        <f aca="false">IF(A54&lt;2025,0,(1/(1+EXP(-Assumptions!$C$19*(A54-Assumptions!$B$19))))/IF(Assumptions!$B$92=1,1/(1+EXP(-Assumptions!$C$19*(2060-Assumptions!$B$19))),1))</f>
        <v>0.800096884614732</v>
      </c>
      <c r="F54" s="64" t="n">
        <f aca="false">IF(A54&lt;2025,0,(1/(1+EXP(-Assumptions!$C$20*(A54-Assumptions!$B$20))))/IF(Assumptions!$B$92=1,1/(1+EXP(-Assumptions!$C$20*(2060-Assumptions!$B$20))),1))</f>
        <v>0.950691821831212</v>
      </c>
      <c r="G54" s="64" t="n">
        <f aca="false">IF(A54&lt;2025,0,(1/(1+EXP(-Assumptions!$C$21*(A54-Assumptions!$B$21))))/IF(Assumptions!$B$92=1,1/(1+EXP(-Assumptions!$C$21*(2060-Assumptions!$B$21))),1))</f>
        <v>0.900249510880315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207</v>
      </c>
    </row>
    <row r="2" customFormat="false" ht="49.5" hidden="false" customHeight="true" outlineLevel="0" collapsed="false">
      <c r="A2" s="28" t="s">
        <v>208</v>
      </c>
      <c r="B2" s="28"/>
      <c r="C2" s="28"/>
      <c r="D2" s="28"/>
      <c r="E2" s="28"/>
      <c r="F2" s="28"/>
      <c r="G2" s="28"/>
      <c r="H2" s="28"/>
    </row>
    <row r="4" customFormat="false" ht="15" hidden="false" customHeight="true" outlineLevel="0" collapsed="false">
      <c r="A4" s="46" t="s">
        <v>209</v>
      </c>
      <c r="B4" s="46" t="s">
        <v>210</v>
      </c>
      <c r="C4" s="46" t="s">
        <v>211</v>
      </c>
      <c r="D4" s="46" t="s">
        <v>37</v>
      </c>
      <c r="E4" s="46" t="s">
        <v>212</v>
      </c>
      <c r="F4" s="46" t="s">
        <v>213</v>
      </c>
      <c r="G4" s="46" t="s">
        <v>214</v>
      </c>
    </row>
    <row r="5" customFormat="false" ht="15" hidden="false" customHeight="true" outlineLevel="0" collapsed="false">
      <c r="A5" s="5" t="n">
        <v>0</v>
      </c>
      <c r="B5" s="65" t="n">
        <v>0.1</v>
      </c>
      <c r="C5" s="65" t="n">
        <v>0</v>
      </c>
      <c r="D5" s="65" t="n">
        <v>0.0097</v>
      </c>
      <c r="E5" s="65" t="n">
        <v>0.11</v>
      </c>
      <c r="F5" s="65" t="n">
        <v>0.0196</v>
      </c>
      <c r="G5" s="40" t="n">
        <f aca="false">SUMPRODUCT(B5:F5,$B$30:$F$30)</f>
        <v>0.0685165578021</v>
      </c>
    </row>
    <row r="6" customFormat="false" ht="15" hidden="false" customHeight="true" outlineLevel="0" collapsed="false">
      <c r="A6" s="5" t="n">
        <v>1</v>
      </c>
      <c r="B6" s="65" t="n">
        <v>0.1</v>
      </c>
      <c r="C6" s="65" t="n">
        <v>0</v>
      </c>
      <c r="D6" s="65" t="n">
        <v>0.0097</v>
      </c>
      <c r="E6" s="65" t="n">
        <v>0.11</v>
      </c>
      <c r="F6" s="65" t="n">
        <v>0.0196</v>
      </c>
      <c r="G6" s="40" t="n">
        <f aca="false">SUMPRODUCT(B6:F6,$B$30:$F$30)</f>
        <v>0.0685165578021</v>
      </c>
    </row>
    <row r="7" customFormat="false" ht="15" hidden="false" customHeight="true" outlineLevel="0" collapsed="false">
      <c r="A7" s="5" t="n">
        <v>2</v>
      </c>
      <c r="B7" s="65" t="n">
        <v>0.1</v>
      </c>
      <c r="C7" s="65" t="n">
        <v>0</v>
      </c>
      <c r="D7" s="65" t="n">
        <v>0.0097</v>
      </c>
      <c r="E7" s="65" t="n">
        <v>0.11</v>
      </c>
      <c r="F7" s="65" t="n">
        <v>0.0196</v>
      </c>
      <c r="G7" s="40" t="n">
        <f aca="false">SUMPRODUCT(B7:F7,$B$30:$F$30)</f>
        <v>0.0685165578021</v>
      </c>
    </row>
    <row r="8" customFormat="false" ht="15" hidden="false" customHeight="true" outlineLevel="0" collapsed="false">
      <c r="A8" s="5" t="n">
        <v>3</v>
      </c>
      <c r="B8" s="65" t="n">
        <v>0.1</v>
      </c>
      <c r="C8" s="65" t="n">
        <v>0</v>
      </c>
      <c r="D8" s="65" t="n">
        <v>0.0097</v>
      </c>
      <c r="E8" s="65" t="n">
        <v>0.11</v>
      </c>
      <c r="F8" s="65" t="n">
        <v>0.0196</v>
      </c>
      <c r="G8" s="40" t="n">
        <f aca="false">SUMPRODUCT(B8:F8,$B$30:$F$30)</f>
        <v>0.0685165578021</v>
      </c>
    </row>
    <row r="9" customFormat="false" ht="15" hidden="false" customHeight="true" outlineLevel="0" collapsed="false">
      <c r="A9" s="5" t="n">
        <v>4</v>
      </c>
      <c r="B9" s="65" t="n">
        <v>0.1</v>
      </c>
      <c r="C9" s="65" t="n">
        <v>0</v>
      </c>
      <c r="D9" s="65" t="n">
        <v>0.0097</v>
      </c>
      <c r="E9" s="65" t="n">
        <v>0.11</v>
      </c>
      <c r="F9" s="65" t="n">
        <v>0.0196</v>
      </c>
      <c r="G9" s="40" t="n">
        <f aca="false">SUMPRODUCT(B9:F9,$B$30:$F$30)</f>
        <v>0.0685165578021</v>
      </c>
    </row>
    <row r="10" customFormat="false" ht="15" hidden="false" customHeight="true" outlineLevel="0" collapsed="false">
      <c r="A10" s="5" t="n">
        <v>5</v>
      </c>
      <c r="B10" s="65" t="n">
        <v>0.09</v>
      </c>
      <c r="C10" s="65" t="n">
        <v>0</v>
      </c>
      <c r="D10" s="65" t="n">
        <v>0.0194</v>
      </c>
      <c r="E10" s="65" t="n">
        <v>0.1</v>
      </c>
      <c r="F10" s="65" t="n">
        <v>0.0294</v>
      </c>
      <c r="G10" s="40" t="n">
        <f aca="false">SUMPRODUCT(B10:F10,$B$30:$F$30)</f>
        <v>0.0638798720606386</v>
      </c>
    </row>
    <row r="11" customFormat="false" ht="15" hidden="false" customHeight="true" outlineLevel="0" collapsed="false">
      <c r="A11" s="5" t="n">
        <v>6</v>
      </c>
      <c r="B11" s="65" t="n">
        <v>0.05</v>
      </c>
      <c r="C11" s="65" t="n">
        <v>0</v>
      </c>
      <c r="D11" s="65" t="n">
        <v>0.0388</v>
      </c>
      <c r="E11" s="65" t="n">
        <v>0.04</v>
      </c>
      <c r="F11" s="65" t="n">
        <v>0.049</v>
      </c>
      <c r="G11" s="40" t="n">
        <f aca="false">SUMPRODUCT(B11:F11,$B$30:$F$30)</f>
        <v>0.0341057051375201</v>
      </c>
    </row>
    <row r="12" customFormat="false" ht="15" hidden="false" customHeight="true" outlineLevel="0" collapsed="false">
      <c r="A12" s="5" t="n">
        <v>7</v>
      </c>
      <c r="B12" s="65" t="n">
        <v>0.01</v>
      </c>
      <c r="C12" s="65" t="n">
        <v>0.02</v>
      </c>
      <c r="D12" s="65" t="n">
        <v>0.0583</v>
      </c>
      <c r="E12" s="65" t="n">
        <v>0</v>
      </c>
      <c r="F12" s="65" t="n">
        <v>0.0588</v>
      </c>
      <c r="G12" s="40" t="n">
        <f aca="false">SUMPRODUCT(B12:F12,$B$30:$F$30)</f>
        <v>0.0161679909443058</v>
      </c>
    </row>
    <row r="13" customFormat="false" ht="15" hidden="false" customHeight="true" outlineLevel="0" collapsed="false">
      <c r="A13" s="5" t="n">
        <v>8</v>
      </c>
      <c r="B13" s="65" t="n">
        <v>0</v>
      </c>
      <c r="C13" s="65" t="n">
        <v>0.06</v>
      </c>
      <c r="D13" s="65" t="n">
        <v>0.068</v>
      </c>
      <c r="E13" s="65" t="n">
        <v>0</v>
      </c>
      <c r="F13" s="65" t="n">
        <v>0.0588</v>
      </c>
      <c r="G13" s="40" t="n">
        <f aca="false">SUMPRODUCT(B13:F13,$B$30:$F$30)</f>
        <v>0.0234981801389885</v>
      </c>
    </row>
    <row r="14" customFormat="false" ht="15" hidden="false" customHeight="true" outlineLevel="0" collapsed="false">
      <c r="A14" s="5" t="n">
        <v>9</v>
      </c>
      <c r="B14" s="65" t="n">
        <v>0</v>
      </c>
      <c r="C14" s="65" t="n">
        <v>0.12</v>
      </c>
      <c r="D14" s="65" t="n">
        <v>0.068</v>
      </c>
      <c r="E14" s="65" t="n">
        <v>0</v>
      </c>
      <c r="F14" s="65" t="n">
        <v>0.0588</v>
      </c>
      <c r="G14" s="40" t="n">
        <f aca="false">SUMPRODUCT(B14:F14,$B$30:$F$30)</f>
        <v>0.0358976304822583</v>
      </c>
    </row>
    <row r="15" customFormat="false" ht="15" hidden="false" customHeight="true" outlineLevel="0" collapsed="false">
      <c r="A15" s="5" t="n">
        <v>10</v>
      </c>
      <c r="B15" s="65" t="n">
        <v>0</v>
      </c>
      <c r="C15" s="65" t="n">
        <v>0.14</v>
      </c>
      <c r="D15" s="65" t="n">
        <v>0.068</v>
      </c>
      <c r="E15" s="65" t="n">
        <v>0</v>
      </c>
      <c r="F15" s="65" t="n">
        <v>0.0588</v>
      </c>
      <c r="G15" s="40" t="n">
        <f aca="false">SUMPRODUCT(B15:F15,$B$30:$F$30)</f>
        <v>0.0400307805966816</v>
      </c>
    </row>
    <row r="16" customFormat="false" ht="15" hidden="false" customHeight="true" outlineLevel="0" collapsed="false">
      <c r="A16" s="5" t="n">
        <v>11</v>
      </c>
      <c r="B16" s="65" t="n">
        <v>0</v>
      </c>
      <c r="C16" s="65" t="n">
        <v>0.14</v>
      </c>
      <c r="D16" s="65" t="n">
        <v>0.068</v>
      </c>
      <c r="E16" s="65" t="n">
        <v>0</v>
      </c>
      <c r="F16" s="65" t="n">
        <v>0.0588</v>
      </c>
      <c r="G16" s="40" t="n">
        <f aca="false">SUMPRODUCT(B16:F16,$B$30:$F$30)</f>
        <v>0.0400307805966816</v>
      </c>
    </row>
    <row r="17" customFormat="false" ht="15" hidden="false" customHeight="true" outlineLevel="0" collapsed="false">
      <c r="A17" s="5" t="n">
        <v>12</v>
      </c>
      <c r="B17" s="65" t="n">
        <v>0</v>
      </c>
      <c r="C17" s="65" t="n">
        <v>0.14</v>
      </c>
      <c r="D17" s="65" t="n">
        <v>0.068</v>
      </c>
      <c r="E17" s="65" t="n">
        <v>0</v>
      </c>
      <c r="F17" s="65" t="n">
        <v>0.0588</v>
      </c>
      <c r="G17" s="40" t="n">
        <f aca="false">SUMPRODUCT(B17:F17,$B$30:$F$30)</f>
        <v>0.0400307805966816</v>
      </c>
    </row>
    <row r="18" customFormat="false" ht="15" hidden="false" customHeight="true" outlineLevel="0" collapsed="false">
      <c r="A18" s="5" t="n">
        <v>13</v>
      </c>
      <c r="B18" s="65" t="n">
        <v>0</v>
      </c>
      <c r="C18" s="65" t="n">
        <v>0.14</v>
      </c>
      <c r="D18" s="65" t="n">
        <v>0.068</v>
      </c>
      <c r="E18" s="65" t="n">
        <v>0</v>
      </c>
      <c r="F18" s="65" t="n">
        <v>0.0588</v>
      </c>
      <c r="G18" s="40" t="n">
        <f aca="false">SUMPRODUCT(B18:F18,$B$30:$F$30)</f>
        <v>0.0400307805966816</v>
      </c>
    </row>
    <row r="19" customFormat="false" ht="15" hidden="false" customHeight="true" outlineLevel="0" collapsed="false">
      <c r="A19" s="5" t="n">
        <v>14</v>
      </c>
      <c r="B19" s="65" t="n">
        <v>0</v>
      </c>
      <c r="C19" s="65" t="n">
        <v>0.12</v>
      </c>
      <c r="D19" s="65" t="n">
        <v>0.068</v>
      </c>
      <c r="E19" s="65" t="n">
        <v>0</v>
      </c>
      <c r="F19" s="65" t="n">
        <v>0.0588</v>
      </c>
      <c r="G19" s="40" t="n">
        <f aca="false">SUMPRODUCT(B19:F19,$B$30:$F$30)</f>
        <v>0.0358976304822583</v>
      </c>
    </row>
    <row r="20" customFormat="false" ht="15" hidden="false" customHeight="true" outlineLevel="0" collapsed="false">
      <c r="A20" s="5" t="n">
        <v>15</v>
      </c>
      <c r="B20" s="65" t="n">
        <v>0</v>
      </c>
      <c r="C20" s="65" t="n">
        <v>0.06</v>
      </c>
      <c r="D20" s="65" t="n">
        <v>0.068</v>
      </c>
      <c r="E20" s="65" t="n">
        <v>0</v>
      </c>
      <c r="F20" s="65" t="n">
        <v>0.0588</v>
      </c>
      <c r="G20" s="40" t="n">
        <f aca="false">SUMPRODUCT(B20:F20,$B$30:$F$30)</f>
        <v>0.0234981801389885</v>
      </c>
    </row>
    <row r="21" customFormat="false" ht="15" hidden="false" customHeight="true" outlineLevel="0" collapsed="false">
      <c r="A21" s="5" t="n">
        <v>16</v>
      </c>
      <c r="B21" s="65" t="n">
        <v>0</v>
      </c>
      <c r="C21" s="65" t="n">
        <v>0.03</v>
      </c>
      <c r="D21" s="65" t="n">
        <v>0.068</v>
      </c>
      <c r="E21" s="65" t="n">
        <v>0</v>
      </c>
      <c r="F21" s="65" t="n">
        <v>0.0588</v>
      </c>
      <c r="G21" s="40" t="n">
        <f aca="false">SUMPRODUCT(B21:F21,$B$30:$F$30)</f>
        <v>0.0172984549673536</v>
      </c>
    </row>
    <row r="22" customFormat="false" ht="15" hidden="false" customHeight="true" outlineLevel="0" collapsed="false">
      <c r="A22" s="5" t="n">
        <v>17</v>
      </c>
      <c r="B22" s="65" t="n">
        <v>0</v>
      </c>
      <c r="C22" s="65" t="n">
        <v>0.02</v>
      </c>
      <c r="D22" s="65" t="n">
        <v>0.068</v>
      </c>
      <c r="E22" s="65" t="n">
        <v>0</v>
      </c>
      <c r="F22" s="65" t="n">
        <v>0.0588</v>
      </c>
      <c r="G22" s="40" t="n">
        <f aca="false">SUMPRODUCT(B22:F22,$B$30:$F$30)</f>
        <v>0.0152318799101419</v>
      </c>
    </row>
    <row r="23" customFormat="false" ht="15" hidden="false" customHeight="true" outlineLevel="0" collapsed="false">
      <c r="A23" s="5" t="n">
        <v>18</v>
      </c>
      <c r="B23" s="65" t="n">
        <v>0.01</v>
      </c>
      <c r="C23" s="65" t="n">
        <v>0.01</v>
      </c>
      <c r="D23" s="65" t="n">
        <v>0.0583</v>
      </c>
      <c r="E23" s="65" t="n">
        <v>0</v>
      </c>
      <c r="F23" s="65" t="n">
        <v>0.049</v>
      </c>
      <c r="G23" s="40" t="n">
        <f aca="false">SUMPRODUCT(B23:F23,$B$30:$F$30)</f>
        <v>0.0138130398532565</v>
      </c>
    </row>
    <row r="24" customFormat="false" ht="15" hidden="false" customHeight="true" outlineLevel="0" collapsed="false">
      <c r="A24" s="5" t="n">
        <v>19</v>
      </c>
      <c r="B24" s="65" t="n">
        <v>0.02</v>
      </c>
      <c r="C24" s="65" t="n">
        <v>0</v>
      </c>
      <c r="D24" s="65" t="n">
        <v>0.0388</v>
      </c>
      <c r="E24" s="65" t="n">
        <v>0.01</v>
      </c>
      <c r="F24" s="65" t="n">
        <v>0.0392</v>
      </c>
      <c r="G24" s="40" t="n">
        <f aca="false">SUMPRODUCT(B24:F24,$B$30:$F$30)</f>
        <v>0.0150329881667946</v>
      </c>
    </row>
    <row r="25" customFormat="false" ht="15" hidden="false" customHeight="true" outlineLevel="0" collapsed="false">
      <c r="A25" s="5" t="n">
        <v>20</v>
      </c>
      <c r="B25" s="65" t="n">
        <v>0.04</v>
      </c>
      <c r="C25" s="65" t="n">
        <v>0</v>
      </c>
      <c r="D25" s="65" t="n">
        <v>0.0194</v>
      </c>
      <c r="E25" s="65" t="n">
        <v>0.05</v>
      </c>
      <c r="F25" s="65" t="n">
        <v>0.0294</v>
      </c>
      <c r="G25" s="40" t="n">
        <f aca="false">SUMPRODUCT(B25:F25,$B$30:$F$30)</f>
        <v>0.0325726371658256</v>
      </c>
    </row>
    <row r="26" customFormat="false" ht="15" hidden="false" customHeight="true" outlineLevel="0" collapsed="false">
      <c r="A26" s="5" t="n">
        <v>21</v>
      </c>
      <c r="B26" s="65" t="n">
        <v>0.08</v>
      </c>
      <c r="C26" s="65" t="n">
        <v>0</v>
      </c>
      <c r="D26" s="65" t="n">
        <v>0.0194</v>
      </c>
      <c r="E26" s="65" t="n">
        <v>0.08</v>
      </c>
      <c r="F26" s="65" t="n">
        <v>0.0196</v>
      </c>
      <c r="G26" s="40" t="n">
        <f aca="false">SUMPRODUCT(B26:F26,$B$30:$F$30)</f>
        <v>0.0533410983067031</v>
      </c>
    </row>
    <row r="27" customFormat="false" ht="15" hidden="false" customHeight="true" outlineLevel="0" collapsed="false">
      <c r="A27" s="5" t="n">
        <v>22</v>
      </c>
      <c r="B27" s="65" t="n">
        <v>0.1</v>
      </c>
      <c r="C27" s="65" t="n">
        <v>0</v>
      </c>
      <c r="D27" s="65" t="n">
        <v>0.0097</v>
      </c>
      <c r="E27" s="65" t="n">
        <v>0.09</v>
      </c>
      <c r="F27" s="65" t="n">
        <v>0.0196</v>
      </c>
      <c r="G27" s="40" t="n">
        <f aca="false">SUMPRODUCT(B27:F27,$B$30:$F$30)</f>
        <v>0.0605386563198295</v>
      </c>
    </row>
    <row r="28" customFormat="false" ht="15" hidden="false" customHeight="true" outlineLevel="0" collapsed="false">
      <c r="A28" s="5" t="n">
        <v>23</v>
      </c>
      <c r="B28" s="65" t="n">
        <v>0.1</v>
      </c>
      <c r="C28" s="65" t="n">
        <v>0</v>
      </c>
      <c r="D28" s="65" t="n">
        <v>0.0097</v>
      </c>
      <c r="E28" s="65" t="n">
        <v>0.08</v>
      </c>
      <c r="F28" s="65" t="n">
        <v>0.0196</v>
      </c>
      <c r="G28" s="40" t="n">
        <f aca="false">SUMPRODUCT(B28:F28,$B$30:$F$30)</f>
        <v>0.0565497055786942</v>
      </c>
    </row>
    <row r="29" customFormat="false" ht="15" hidden="false" customHeight="true" outlineLevel="0" collapsed="false">
      <c r="A29" s="5" t="s">
        <v>215</v>
      </c>
      <c r="B29" s="64" t="n">
        <f aca="false">SUM(B5:B28)</f>
        <v>1</v>
      </c>
      <c r="C29" s="64" t="n">
        <f aca="false">SUM(C5:C28)</f>
        <v>1</v>
      </c>
      <c r="D29" s="64" t="n">
        <f aca="false">SUM(D5:D28)</f>
        <v>1.0003</v>
      </c>
      <c r="E29" s="64" t="n">
        <f aca="false">SUM(E5:E28)</f>
        <v>1</v>
      </c>
      <c r="F29" s="64" t="n">
        <f aca="false">SUM(F5:F28)</f>
        <v>0.9996</v>
      </c>
    </row>
    <row r="30" customFormat="false" ht="41.25" hidden="false" customHeight="true" outlineLevel="0" collapsed="false">
      <c r="A30" s="5" t="s">
        <v>216</v>
      </c>
      <c r="B30" s="64" t="n">
        <f aca="false">(B37*Assumptions!$D$7+B38*Assumptions!$D$8+B36*Assumptions!$D$6*Assumptions!$B$88/Assumptions!$B$6)/$B$42</f>
        <v>0.227249623782733</v>
      </c>
      <c r="C30" s="64" t="n">
        <f aca="false">((B37*(1-Assumptions!$D$7)+B38*(1-Assumptions!$D$8))*0.6)/$B$42</f>
        <v>0.206657505721164</v>
      </c>
      <c r="D30" s="64" t="n">
        <f aca="false">((B37*(1-Assumptions!$D$7)+B38*(1-Assumptions!$D$8))*0.4)/$B$42</f>
        <v>0.137771670480776</v>
      </c>
      <c r="E30" s="64" t="n">
        <f aca="false">(B39+B40+B41)/$B$42</f>
        <v>0.398895074113526</v>
      </c>
      <c r="F30" s="64" t="n">
        <f aca="false">B36*(1-Assumptions!$D$6)*Assumptions!$B$89/Assumptions!$B$6/$B$42</f>
        <v>0.029426125901801</v>
      </c>
      <c r="G30" s="50" t="s">
        <v>217</v>
      </c>
    </row>
    <row r="32" customFormat="false" ht="15" hidden="false" customHeight="true" outlineLevel="0" collapsed="false">
      <c r="A32" s="5" t="s">
        <v>218</v>
      </c>
      <c r="B32" s="54" t="n">
        <f aca="false">AVERAGE(G5:G28)/MAX(G5:G28)</f>
        <v>0.608143486972413</v>
      </c>
    </row>
    <row r="33" customFormat="false" ht="15" hidden="false" customHeight="true" outlineLevel="0" collapsed="false">
      <c r="A33" s="5" t="s">
        <v>219</v>
      </c>
      <c r="B33" s="5" t="n">
        <f aca="false">INDEX(A5:A28,MATCH(MAX(G5:G28),G5:G28,0))</f>
        <v>0</v>
      </c>
    </row>
    <row r="35" customFormat="false" ht="15" hidden="false" customHeight="true" outlineLevel="0" collapsed="false">
      <c r="A35" s="45" t="s">
        <v>220</v>
      </c>
      <c r="B35" s="45"/>
      <c r="C35" s="45"/>
      <c r="D35" s="45"/>
      <c r="E35" s="45"/>
      <c r="F35" s="45"/>
      <c r="G35" s="45"/>
      <c r="H35" s="45"/>
    </row>
    <row r="36" customFormat="false" ht="15" hidden="false" customHeight="true" outlineLevel="0" collapsed="false">
      <c r="A36" s="5" t="s">
        <v>221</v>
      </c>
      <c r="B36" s="42" t="n">
        <f aca="false">'Results Scenario B'!C39*Assumptions!$B$6*Assumptions!$C$6*Assumptions!$B$61/1000000000</f>
        <v>21.5590128001473</v>
      </c>
    </row>
    <row r="37" customFormat="false" ht="15" hidden="false" customHeight="true" outlineLevel="0" collapsed="false">
      <c r="A37" s="5" t="s">
        <v>222</v>
      </c>
      <c r="B37" s="42" t="n">
        <f aca="false">'Results Scenario B'!D39*Assumptions!$B$7*Assumptions!$C$7*Assumptions!$B$61/1000000000</f>
        <v>276.980484601932</v>
      </c>
    </row>
    <row r="38" customFormat="false" ht="15" hidden="false" customHeight="true" outlineLevel="0" collapsed="false">
      <c r="A38" s="5" t="s">
        <v>223</v>
      </c>
      <c r="B38" s="42" t="n">
        <f aca="false">'Results Scenario B'!E39*Assumptions!$B$8*Assumptions!$C$8*Assumptions!$B$61/1000000000</f>
        <v>38.3671607462094</v>
      </c>
    </row>
    <row r="39" customFormat="false" ht="15" hidden="false" customHeight="true" outlineLevel="0" collapsed="false">
      <c r="A39" s="5" t="s">
        <v>224</v>
      </c>
      <c r="B39" s="42" t="n">
        <f aca="false">'Results Scenario B'!F39*Assumptions!$B$9*Assumptions!$C$9*Assumptions!$B$61/1000000000</f>
        <v>218.361190503346</v>
      </c>
    </row>
    <row r="40" customFormat="false" ht="15" hidden="false" customHeight="true" outlineLevel="0" collapsed="false">
      <c r="A40" s="5" t="s">
        <v>225</v>
      </c>
      <c r="B40" s="42" t="n">
        <f aca="false">'Results Scenario B'!G39*Assumptions!$B$10*Assumptions!$C$10*Assumptions!$B$61/1000000000</f>
        <v>1.25627964931295</v>
      </c>
    </row>
    <row r="41" customFormat="false" ht="15" hidden="false" customHeight="true" outlineLevel="0" collapsed="false">
      <c r="A41" s="5" t="s">
        <v>226</v>
      </c>
      <c r="B41" s="42" t="n">
        <f aca="false">'Results Scenario B'!H39*Assumptions!$B$11*Assumptions!$C$11*Assumptions!$B$61/1000000000</f>
        <v>3.95482244369706</v>
      </c>
    </row>
    <row r="42" customFormat="false" ht="15" hidden="false" customHeight="true" outlineLevel="0" collapsed="false">
      <c r="A42" s="5" t="s">
        <v>227</v>
      </c>
      <c r="B42" s="42" t="n">
        <f aca="false">SUM(B36:B41)</f>
        <v>560.478950744644</v>
      </c>
    </row>
    <row r="44" customFormat="false" ht="15" hidden="false" customHeight="true" outlineLevel="0" collapsed="false">
      <c r="A44" s="66" t="s">
        <v>228</v>
      </c>
      <c r="I44" s="46" t="s">
        <v>118</v>
      </c>
      <c r="J44" s="46" t="n">
        <v>2025</v>
      </c>
      <c r="K44" s="46" t="n">
        <v>2026</v>
      </c>
      <c r="L44" s="46" t="n">
        <v>2027</v>
      </c>
      <c r="M44" s="46" t="n">
        <v>2028</v>
      </c>
      <c r="N44" s="46" t="n">
        <v>2029</v>
      </c>
      <c r="O44" s="46" t="n">
        <v>2030</v>
      </c>
      <c r="P44" s="46" t="n">
        <v>2031</v>
      </c>
      <c r="Q44" s="46" t="n">
        <v>2032</v>
      </c>
      <c r="R44" s="46" t="n">
        <v>2033</v>
      </c>
      <c r="S44" s="46" t="n">
        <v>2034</v>
      </c>
      <c r="T44" s="46" t="n">
        <v>2035</v>
      </c>
      <c r="U44" s="46" t="n">
        <v>2036</v>
      </c>
      <c r="V44" s="46" t="n">
        <v>2037</v>
      </c>
      <c r="W44" s="46" t="n">
        <v>2038</v>
      </c>
      <c r="X44" s="46" t="n">
        <v>2039</v>
      </c>
      <c r="Y44" s="46" t="n">
        <v>2040</v>
      </c>
      <c r="Z44" s="46" t="n">
        <v>2041</v>
      </c>
      <c r="AA44" s="46" t="n">
        <v>2042</v>
      </c>
      <c r="AB44" s="46" t="n">
        <v>2043</v>
      </c>
      <c r="AC44" s="46" t="n">
        <v>2044</v>
      </c>
      <c r="AD44" s="46" t="n">
        <v>2045</v>
      </c>
      <c r="AE44" s="46" t="n">
        <v>2046</v>
      </c>
      <c r="AF44" s="46" t="n">
        <v>2047</v>
      </c>
      <c r="AG44" s="46" t="n">
        <v>2048</v>
      </c>
      <c r="AH44" s="46" t="n">
        <v>2049</v>
      </c>
      <c r="AI44" s="46" t="n">
        <v>2050</v>
      </c>
      <c r="AJ44" s="46" t="n">
        <v>2051</v>
      </c>
      <c r="AK44" s="46" t="n">
        <v>2052</v>
      </c>
      <c r="AL44" s="46" t="n">
        <v>2053</v>
      </c>
      <c r="AM44" s="46" t="n">
        <v>2054</v>
      </c>
      <c r="AN44" s="46" t="n">
        <v>2055</v>
      </c>
      <c r="AO44" s="46" t="n">
        <v>2056</v>
      </c>
      <c r="AP44" s="46" t="n">
        <v>2057</v>
      </c>
      <c r="AQ44" s="46" t="n">
        <v>2058</v>
      </c>
      <c r="AR44" s="46" t="n">
        <v>2059</v>
      </c>
      <c r="AS44" s="46" t="n">
        <v>2060</v>
      </c>
    </row>
    <row r="45" customFormat="false" ht="15" hidden="false" customHeight="true" outlineLevel="0" collapsed="false">
      <c r="I45" s="5" t="s">
        <v>229</v>
      </c>
      <c r="J45" s="64" t="n">
        <f aca="false">('Results Scenario B'!D4*Assumptions!$B$7*Assumptions!$C$7*Assumptions!$B$61*Assumptions!$D$7+'Results Scenario B'!E4*Assumptions!$B$8*Assumptions!$C$8*Assumptions!$B$61*Assumptions!$D$8+'Results Scenario B'!C4*Assumptions!$B$6*Assumptions!$C$6*Assumptions!$B$61*Assumptions!$D$6*Assumptions!$B$88/Assumptions!$B$6)/('Results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0.188322448615361</v>
      </c>
      <c r="K45" s="64" t="n">
        <f aca="false">('Results Scenario B'!D5*Assumptions!$B$7*Assumptions!$C$7*Assumptions!$B$61*Assumptions!$D$7+'Results Scenario B'!E5*Assumptions!$B$8*Assumptions!$C$8*Assumptions!$B$61*Assumptions!$D$8+'Results Scenario B'!C5*Assumptions!$B$6*Assumptions!$C$6*Assumptions!$B$61*Assumptions!$D$6*Assumptions!$B$88/Assumptions!$B$6)/('Results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0.192913108791523</v>
      </c>
      <c r="L45" s="64" t="n">
        <f aca="false">('Results Scenario B'!D6*Assumptions!$B$7*Assumptions!$C$7*Assumptions!$B$61*Assumptions!$D$7+'Results Scenario B'!E6*Assumptions!$B$8*Assumptions!$C$8*Assumptions!$B$61*Assumptions!$D$8+'Results Scenario B'!C6*Assumptions!$B$6*Assumptions!$C$6*Assumptions!$B$61*Assumptions!$D$6*Assumptions!$B$88/Assumptions!$B$6)/('Results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0.197503477919022</v>
      </c>
      <c r="M45" s="64" t="n">
        <f aca="false">('Results Scenario B'!D7*Assumptions!$B$7*Assumptions!$C$7*Assumptions!$B$61*Assumptions!$D$7+'Results Scenario B'!E7*Assumptions!$B$8*Assumptions!$C$8*Assumptions!$B$61*Assumptions!$D$8+'Results Scenario B'!C7*Assumptions!$B$6*Assumptions!$C$6*Assumptions!$B$61*Assumptions!$D$6*Assumptions!$B$88/Assumptions!$B$6)/('Results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0.202085278855668</v>
      </c>
      <c r="N45" s="64" t="n">
        <f aca="false">('Results Scenario B'!D8*Assumptions!$B$7*Assumptions!$C$7*Assumptions!$B$61*Assumptions!$D$7+'Results Scenario B'!E8*Assumptions!$B$8*Assumptions!$C$8*Assumptions!$B$61*Assumptions!$D$8+'Results Scenario B'!C8*Assumptions!$B$6*Assumptions!$C$6*Assumptions!$B$61*Assumptions!$D$6*Assumptions!$B$88/Assumptions!$B$6)/('Results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0.206649440990343</v>
      </c>
      <c r="O45" s="64" t="n">
        <f aca="false">('Results Scenario B'!D9*Assumptions!$B$7*Assumptions!$C$7*Assumptions!$B$61*Assumptions!$D$7+'Results Scenario B'!E9*Assumptions!$B$8*Assumptions!$C$8*Assumptions!$B$61*Assumptions!$D$8+'Results Scenario B'!C9*Assumptions!$B$6*Assumptions!$C$6*Assumptions!$B$61*Assumptions!$D$6*Assumptions!$B$88/Assumptions!$B$6)/('Results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0.211185915398418</v>
      </c>
      <c r="P45" s="64" t="n">
        <f aca="false">('Results Scenario B'!D10*Assumptions!$B$7*Assumptions!$C$7*Assumptions!$B$61*Assumptions!$D$7+'Results Scenario B'!E10*Assumptions!$B$8*Assumptions!$C$8*Assumptions!$B$61*Assumptions!$D$8+'Results Scenario B'!C10*Assumptions!$B$6*Assumptions!$C$6*Assumptions!$B$61*Assumptions!$D$6*Assumptions!$B$88/Assumptions!$B$6)/('Results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0.215683439175434</v>
      </c>
      <c r="Q45" s="64" t="n">
        <f aca="false">('Results Scenario B'!D11*Assumptions!$B$7*Assumptions!$C$7*Assumptions!$B$61*Assumptions!$D$7+'Results Scenario B'!E11*Assumptions!$B$8*Assumptions!$C$8*Assumptions!$B$61*Assumptions!$D$8+'Results Scenario B'!C11*Assumptions!$B$6*Assumptions!$C$6*Assumptions!$B$61*Assumptions!$D$6*Assumptions!$B$88/Assumptions!$B$6)/('Results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0.220129240966256</v>
      </c>
      <c r="R45" s="64" t="n">
        <f aca="false">('Results Scenario B'!D12*Assumptions!$B$7*Assumptions!$C$7*Assumptions!$B$61*Assumptions!$D$7+'Results Scenario B'!E12*Assumptions!$B$8*Assumptions!$C$8*Assumptions!$B$61*Assumptions!$D$8+'Results Scenario B'!C12*Assumptions!$B$6*Assumptions!$C$6*Assumptions!$B$61*Assumptions!$D$6*Assumptions!$B$88/Assumptions!$B$6)/('Results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0.2245086808415</v>
      </c>
      <c r="S45" s="64" t="n">
        <f aca="false">('Results Scenario B'!D13*Assumptions!$B$7*Assumptions!$C$7*Assumptions!$B$61*Assumptions!$D$7+'Results Scenario B'!E13*Assumptions!$B$8*Assumptions!$C$8*Assumptions!$B$61*Assumptions!$D$8+'Results Scenario B'!C13*Assumptions!$B$6*Assumptions!$C$6*Assumptions!$B$61*Assumptions!$D$6*Assumptions!$B$88/Assumptions!$B$6)/('Results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0.228804820377624</v>
      </c>
      <c r="T45" s="64" t="n">
        <f aca="false">('Results Scenario B'!D14*Assumptions!$B$7*Assumptions!$C$7*Assumptions!$B$61*Assumptions!$D$7+'Results Scenario B'!E14*Assumptions!$B$8*Assumptions!$C$8*Assumptions!$B$61*Assumptions!$D$8+'Results Scenario B'!C14*Assumptions!$B$6*Assumptions!$C$6*Assumptions!$B$61*Assumptions!$D$6*Assumptions!$B$88/Assumptions!$B$6)/('Results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0.232997923773113</v>
      </c>
      <c r="U45" s="64" t="n">
        <f aca="false">('Results Scenario B'!D15*Assumptions!$B$7*Assumptions!$C$7*Assumptions!$B$61*Assumptions!$D$7+'Results Scenario B'!E15*Assumptions!$B$8*Assumptions!$C$8*Assumptions!$B$61*Assumptions!$D$8+'Results Scenario B'!C15*Assumptions!$B$6*Assumptions!$C$6*Assumptions!$B$61*Assumptions!$D$6*Assumptions!$B$88/Assumptions!$B$6)/('Results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0.237064898883286</v>
      </c>
      <c r="V45" s="64" t="n">
        <f aca="false">('Results Scenario B'!D16*Assumptions!$B$7*Assumptions!$C$7*Assumptions!$B$61*Assumptions!$D$7+'Results Scenario B'!E16*Assumptions!$B$8*Assumptions!$C$8*Assumptions!$B$61*Assumptions!$D$8+'Results Scenario B'!C16*Assumptions!$B$6*Assumptions!$C$6*Assumptions!$B$61*Assumptions!$D$6*Assumptions!$B$88/Assumptions!$B$6)/('Results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0.24097869900773</v>
      </c>
      <c r="W45" s="64" t="n">
        <f aca="false">('Results Scenario B'!D17*Assumptions!$B$7*Assumptions!$C$7*Assumptions!$B$61*Assumptions!$D$7+'Results Scenario B'!E17*Assumptions!$B$8*Assumptions!$C$8*Assumptions!$B$61*Assumptions!$D$8+'Results Scenario B'!C17*Assumptions!$B$6*Assumptions!$C$6*Assumptions!$B$61*Assumptions!$D$6*Assumptions!$B$88/Assumptions!$B$6)/('Results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0.244707722907161</v>
      </c>
      <c r="X45" s="64" t="n">
        <f aca="false">('Results Scenario B'!D18*Assumptions!$B$7*Assumptions!$C$7*Assumptions!$B$61*Assumptions!$D$7+'Results Scenario B'!E18*Assumptions!$B$8*Assumptions!$C$8*Assumptions!$B$61*Assumptions!$D$8+'Results Scenario B'!C18*Assumptions!$B$6*Assumptions!$C$6*Assumptions!$B$61*Assumptions!$D$6*Assumptions!$B$88/Assumptions!$B$6)/('Results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0.248215272707292</v>
      </c>
      <c r="Y45" s="64" t="n">
        <f aca="false">('Results Scenario B'!D19*Assumptions!$B$7*Assumptions!$C$7*Assumptions!$B$61*Assumptions!$D$7+'Results Scenario B'!E19*Assumptions!$B$8*Assumptions!$C$8*Assumptions!$B$61*Assumptions!$D$8+'Results Scenario B'!C19*Assumptions!$B$6*Assumptions!$C$6*Assumptions!$B$61*Assumptions!$D$6*Assumptions!$B$88/Assumptions!$B$6)/('Results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0.251459158429326</v>
      </c>
      <c r="Z45" s="64" t="n">
        <f aca="false">('Results Scenario B'!D20*Assumptions!$B$7*Assumptions!$C$7*Assumptions!$B$61*Assumptions!$D$7+'Results Scenario B'!E20*Assumptions!$B$8*Assumptions!$C$8*Assumptions!$B$61*Assumptions!$D$8+'Results Scenario B'!C20*Assumptions!$B$6*Assumptions!$C$6*Assumptions!$B$61*Assumptions!$D$6*Assumptions!$B$88/Assumptions!$B$6)/('Results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0.254391576570347</v>
      </c>
      <c r="AA45" s="64" t="n">
        <f aca="false">('Results Scenario B'!D21*Assumptions!$B$7*Assumptions!$C$7*Assumptions!$B$61*Assumptions!$D$7+'Results Scenario B'!E21*Assumptions!$B$8*Assumptions!$C$8*Assumptions!$B$61*Assumptions!$D$8+'Results Scenario B'!C21*Assumptions!$B$6*Assumptions!$C$6*Assumptions!$B$61*Assumptions!$D$6*Assumptions!$B$88/Assumptions!$B$6)/('Results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0.256959442647629</v>
      </c>
      <c r="AB45" s="64" t="n">
        <f aca="false">('Results Scenario B'!D22*Assumptions!$B$7*Assumptions!$C$7*Assumptions!$B$61*Assumptions!$D$7+'Results Scenario B'!E22*Assumptions!$B$8*Assumptions!$C$8*Assumptions!$B$61*Assumptions!$D$8+'Results Scenario B'!C22*Assumptions!$B$6*Assumptions!$C$6*Assumptions!$B$61*Assumptions!$D$6*Assumptions!$B$88/Assumptions!$B$6)/('Results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0.259105426045425</v>
      </c>
      <c r="AC45" s="64" t="n">
        <f aca="false">('Results Scenario B'!D23*Assumptions!$B$7*Assumptions!$C$7*Assumptions!$B$61*Assumptions!$D$7+'Results Scenario B'!E23*Assumptions!$B$8*Assumptions!$C$8*Assumptions!$B$61*Assumptions!$D$8+'Results Scenario B'!C23*Assumptions!$B$6*Assumptions!$C$6*Assumptions!$B$61*Assumptions!$D$6*Assumptions!$B$88/Assumptions!$B$6)/('Results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0.260770007953645</v>
      </c>
      <c r="AD45" s="64" t="n">
        <f aca="false">('Results Scenario B'!D24*Assumptions!$B$7*Assumptions!$C$7*Assumptions!$B$61*Assumptions!$D$7+'Results Scenario B'!E24*Assumptions!$B$8*Assumptions!$C$8*Assumptions!$B$61*Assumptions!$D$8+'Results Scenario B'!C24*Assumptions!$B$6*Assumptions!$C$6*Assumptions!$B$61*Assumptions!$D$6*Assumptions!$B$88/Assumptions!$B$6)/('Results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0.261894913428048</v>
      </c>
      <c r="AE45" s="64" t="n">
        <f aca="false">('Results Scenario B'!D25*Assumptions!$B$7*Assumptions!$C$7*Assumptions!$B$61*Assumptions!$D$7+'Results Scenario B'!E25*Assumptions!$B$8*Assumptions!$C$8*Assumptions!$B$61*Assumptions!$D$8+'Results Scenario B'!C25*Assumptions!$B$6*Assumptions!$C$6*Assumptions!$B$61*Assumptions!$D$6*Assumptions!$B$88/Assumptions!$B$6)/('Results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0.262428164302477</v>
      </c>
      <c r="AF45" s="64" t="n">
        <f aca="false">('Results Scenario B'!D26*Assumptions!$B$7*Assumptions!$C$7*Assumptions!$B$61*Assumptions!$D$7+'Results Scenario B'!E26*Assumptions!$B$8*Assumptions!$C$8*Assumptions!$B$61*Assumptions!$D$8+'Results Scenario B'!C26*Assumptions!$B$6*Assumptions!$C$6*Assumptions!$B$61*Assumptions!$D$6*Assumptions!$B$88/Assumptions!$B$6)/('Results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0.262330655580467</v>
      </c>
      <c r="AG45" s="64" t="n">
        <f aca="false">('Results Scenario B'!D27*Assumptions!$B$7*Assumptions!$C$7*Assumptions!$B$61*Assumptions!$D$7+'Results Scenario B'!E27*Assumptions!$B$8*Assumptions!$C$8*Assumptions!$B$61*Assumptions!$D$8+'Results Scenario B'!C27*Assumptions!$B$6*Assumptions!$C$6*Assumptions!$B$61*Assumptions!$D$6*Assumptions!$B$88/Assumptions!$B$6)/('Results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0.261583554724644</v>
      </c>
      <c r="AH45" s="64" t="n">
        <f aca="false">('Results Scenario B'!D28*Assumptions!$B$7*Assumptions!$C$7*Assumptions!$B$61*Assumptions!$D$7+'Results Scenario B'!E28*Assumptions!$B$8*Assumptions!$C$8*Assumptions!$B$61*Assumptions!$D$8+'Results Scenario B'!C28*Assumptions!$B$6*Assumptions!$C$6*Assumptions!$B$61*Assumptions!$D$6*Assumptions!$B$88/Assumptions!$B$6)/('Results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0.260195135396653</v>
      </c>
      <c r="AI45" s="64" t="n">
        <f aca="false">('Results Scenario B'!D29*Assumptions!$B$7*Assumptions!$C$7*Assumptions!$B$61*Assumptions!$D$7+'Results Scenario B'!E29*Assumptions!$B$8*Assumptions!$C$8*Assumptions!$B$61*Assumptions!$D$8+'Results Scenario B'!C29*Assumptions!$B$6*Assumptions!$C$6*Assumptions!$B$61*Assumptions!$D$6*Assumptions!$B$88/Assumptions!$B$6)/('Results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0.258205239992487</v>
      </c>
      <c r="AJ45" s="64" t="n">
        <f aca="false">('Results Scenario B'!D30*Assumptions!$B$7*Assumptions!$C$7*Assumptions!$B$61*Assumptions!$D$7+'Results Scenario B'!E30*Assumptions!$B$8*Assumptions!$C$8*Assumptions!$B$61*Assumptions!$D$8+'Results Scenario B'!C30*Assumptions!$B$6*Assumptions!$C$6*Assumptions!$B$61*Assumptions!$D$6*Assumptions!$B$88/Assumptions!$B$6)/('Results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0.25568575711798</v>
      </c>
      <c r="AK45" s="64" t="n">
        <f aca="false">('Results Scenario B'!D31*Assumptions!$B$7*Assumptions!$C$7*Assumptions!$B$61*Assumptions!$D$7+'Results Scenario B'!E31*Assumptions!$B$8*Assumptions!$C$8*Assumptions!$B$61*Assumptions!$D$8+'Results Scenario B'!C31*Assumptions!$B$6*Assumptions!$C$6*Assumptions!$B$61*Assumptions!$D$6*Assumptions!$B$88/Assumptions!$B$6)/('Results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0.252736367384825</v>
      </c>
      <c r="AL45" s="64" t="n">
        <f aca="false">('Results Scenario B'!D32*Assumptions!$B$7*Assumptions!$C$7*Assumptions!$B$61*Assumptions!$D$7+'Results Scenario B'!E32*Assumptions!$B$8*Assumptions!$C$8*Assumptions!$B$61*Assumptions!$D$8+'Results Scenario B'!C32*Assumptions!$B$6*Assumptions!$C$6*Assumptions!$B$61*Assumptions!$D$6*Assumptions!$B$88/Assumptions!$B$6)/('Results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0.249476058043958</v>
      </c>
      <c r="AM45" s="64" t="n">
        <f aca="false">('Results Scenario B'!D33*Assumptions!$B$7*Assumptions!$C$7*Assumptions!$B$61*Assumptions!$D$7+'Results Scenario B'!E33*Assumptions!$B$8*Assumptions!$C$8*Assumptions!$B$61*Assumptions!$D$8+'Results Scenario B'!C33*Assumptions!$B$6*Assumptions!$C$6*Assumptions!$B$61*Assumptions!$D$6*Assumptions!$B$88/Assumptions!$B$6)/('Results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0.246032033326895</v>
      </c>
      <c r="AN45" s="64" t="n">
        <f aca="false">('Results Scenario B'!D34*Assumptions!$B$7*Assumptions!$C$7*Assumptions!$B$61*Assumptions!$D$7+'Results Scenario B'!E34*Assumptions!$B$8*Assumptions!$C$8*Assumptions!$B$61*Assumptions!$D$8+'Results Scenario B'!C34*Assumptions!$B$6*Assumptions!$C$6*Assumptions!$B$61*Assumptions!$D$6*Assumptions!$B$88/Assumptions!$B$6)/('Results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0.242528222873462</v>
      </c>
      <c r="AO45" s="64" t="n">
        <f aca="false">('Results Scenario B'!D35*Assumptions!$B$7*Assumptions!$C$7*Assumptions!$B$61*Assumptions!$D$7+'Results Scenario B'!E35*Assumptions!$B$8*Assumptions!$C$8*Assumptions!$B$61*Assumptions!$D$8+'Results Scenario B'!C35*Assumptions!$B$6*Assumptions!$C$6*Assumptions!$B$61*Assumptions!$D$6*Assumptions!$B$88/Assumptions!$B$6)/('Results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0.239075459822282</v>
      </c>
      <c r="AP45" s="64" t="n">
        <f aca="false">('Results Scenario B'!D36*Assumptions!$B$7*Assumptions!$C$7*Assumptions!$B$61*Assumptions!$D$7+'Results Scenario B'!E36*Assumptions!$B$8*Assumptions!$C$8*Assumptions!$B$61*Assumptions!$D$8+'Results Scenario B'!C36*Assumptions!$B$6*Assumptions!$C$6*Assumptions!$B$61*Assumptions!$D$6*Assumptions!$B$88/Assumptions!$B$6)/('Results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0.235764712445245</v>
      </c>
      <c r="AQ45" s="64" t="n">
        <f aca="false">('Results Scenario B'!D37*Assumptions!$B$7*Assumptions!$C$7*Assumptions!$B$61*Assumptions!$D$7+'Results Scenario B'!E37*Assumptions!$B$8*Assumptions!$C$8*Assumptions!$B$61*Assumptions!$D$8+'Results Scenario B'!C37*Assumptions!$B$6*Assumptions!$C$6*Assumptions!$B$61*Assumptions!$D$6*Assumptions!$B$88/Assumptions!$B$6)/('Results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0.232663839742658</v>
      </c>
      <c r="AR45" s="64" t="n">
        <f aca="false">('Results Scenario B'!D38*Assumptions!$B$7*Assumptions!$C$7*Assumptions!$B$61*Assumptions!$D$7+'Results Scenario B'!E38*Assumptions!$B$8*Assumptions!$C$8*Assumptions!$B$61*Assumptions!$D$8+'Results Scenario B'!C38*Assumptions!$B$6*Assumptions!$C$6*Assumptions!$B$61*Assumptions!$D$6*Assumptions!$B$88/Assumptions!$B$6)/('Results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0.22981753504199</v>
      </c>
      <c r="AS45" s="64" t="n">
        <f aca="false">('Results Scenario B'!D39*Assumptions!$B$7*Assumptions!$C$7*Assumptions!$B$61*Assumptions!$D$7+'Results Scenario B'!E39*Assumptions!$B$8*Assumptions!$C$8*Assumptions!$B$61*Assumptions!$D$8+'Results Scenario B'!C39*Assumptions!$B$6*Assumptions!$C$6*Assumptions!$B$61*Assumptions!$D$6*Assumptions!$B$88/Assumptions!$B$6)/('Results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0.227249623782733</v>
      </c>
    </row>
    <row r="46" customFormat="false" ht="15" hidden="false" customHeight="true" outlineLevel="0" collapsed="false">
      <c r="I46" s="5" t="s">
        <v>230</v>
      </c>
      <c r="J46" s="64" t="n">
        <f aca="false">(('Results Scenario B'!D4*Assumptions!$B$7*Assumptions!$C$7*Assumptions!$B$61*(1-Assumptions!$D$7)+'Results Scenario B'!E4*Assumptions!$B$8*Assumptions!$C$8*Assumptions!$B$61*(1-Assumptions!$D$8))*0.6)/('Results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0.177155438908238</v>
      </c>
      <c r="K46" s="64" t="n">
        <f aca="false">(('Results Scenario B'!D5*Assumptions!$B$7*Assumptions!$C$7*Assumptions!$B$61*(1-Assumptions!$D$7)+'Results Scenario B'!E5*Assumptions!$B$8*Assumptions!$C$8*Assumptions!$B$61*(1-Assumptions!$D$8))*0.6)/('Results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0.180900209485822</v>
      </c>
      <c r="L46" s="64" t="n">
        <f aca="false">(('Results Scenario B'!D6*Assumptions!$B$7*Assumptions!$C$7*Assumptions!$B$61*(1-Assumptions!$D$7)+'Results Scenario B'!E6*Assumptions!$B$8*Assumptions!$C$8*Assumptions!$B$61*(1-Assumptions!$D$8))*0.6)/('Results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0.184620828409888</v>
      </c>
      <c r="M46" s="64" t="n">
        <f aca="false">(('Results Scenario B'!D7*Assumptions!$B$7*Assumptions!$C$7*Assumptions!$B$61*(1-Assumptions!$D$7)+'Results Scenario B'!E7*Assumptions!$B$8*Assumptions!$C$8*Assumptions!$B$61*(1-Assumptions!$D$8))*0.6)/('Results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0.188309868660803</v>
      </c>
      <c r="N46" s="64" t="n">
        <f aca="false">(('Results Scenario B'!D8*Assumptions!$B$7*Assumptions!$C$7*Assumptions!$B$61*(1-Assumptions!$D$7)+'Results Scenario B'!E8*Assumptions!$B$8*Assumptions!$C$8*Assumptions!$B$61*(1-Assumptions!$D$8))*0.6)/('Results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0.191959391580388</v>
      </c>
      <c r="O46" s="64" t="n">
        <f aca="false">(('Results Scenario B'!D9*Assumptions!$B$7*Assumptions!$C$7*Assumptions!$B$61*(1-Assumptions!$D$7)+'Results Scenario B'!E9*Assumptions!$B$8*Assumptions!$C$8*Assumptions!$B$61*(1-Assumptions!$D$8))*0.6)/('Results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0.195560855546061</v>
      </c>
      <c r="P46" s="64" t="n">
        <f aca="false">(('Results Scenario B'!D10*Assumptions!$B$7*Assumptions!$C$7*Assumptions!$B$61*(1-Assumptions!$D$7)+'Results Scenario B'!E10*Assumptions!$B$8*Assumptions!$C$8*Assumptions!$B$61*(1-Assumptions!$D$8))*0.6)/('Results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0.199105007426328</v>
      </c>
      <c r="Q46" s="64" t="n">
        <f aca="false">(('Results Scenario B'!D11*Assumptions!$B$7*Assumptions!$C$7*Assumptions!$B$61*(1-Assumptions!$D$7)+'Results Scenario B'!E11*Assumptions!$B$8*Assumptions!$C$8*Assumptions!$B$61*(1-Assumptions!$D$8))*0.6)/('Results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0.202581758071031</v>
      </c>
      <c r="R46" s="64" t="n">
        <f aca="false">(('Results Scenario B'!D12*Assumptions!$B$7*Assumptions!$C$7*Assumptions!$B$61*(1-Assumptions!$D$7)+'Results Scenario B'!E12*Assumptions!$B$8*Assumptions!$C$8*Assumptions!$B$61*(1-Assumptions!$D$8))*0.6)/('Results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0.205980044807089</v>
      </c>
      <c r="S46" s="64" t="n">
        <f aca="false">(('Results Scenario B'!D13*Assumptions!$B$7*Assumptions!$C$7*Assumptions!$B$61*(1-Assumptions!$D$7)+'Results Scenario B'!E13*Assumptions!$B$8*Assumptions!$C$8*Assumptions!$B$61*(1-Assumptions!$D$8))*0.6)/('Results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0.209287685477239</v>
      </c>
      <c r="T46" s="64" t="n">
        <f aca="false">(('Results Scenario B'!D14*Assumptions!$B$7*Assumptions!$C$7*Assumptions!$B$61*(1-Assumptions!$D$7)+'Results Scenario B'!E14*Assumptions!$B$8*Assumptions!$C$8*Assumptions!$B$61*(1-Assumptions!$D$8))*0.6)/('Results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0.212491228983144</v>
      </c>
      <c r="U46" s="64" t="n">
        <f aca="false">(('Results Scenario B'!D15*Assumptions!$B$7*Assumptions!$C$7*Assumptions!$B$61*(1-Assumptions!$D$7)+'Results Scenario B'!E15*Assumptions!$B$8*Assumptions!$C$8*Assumptions!$B$61*(1-Assumptions!$D$8))*0.6)/('Results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0.21557580479062</v>
      </c>
      <c r="V46" s="64" t="n">
        <f aca="false">(('Results Scenario B'!D16*Assumptions!$B$7*Assumptions!$C$7*Assumptions!$B$61*(1-Assumptions!$D$7)+'Results Scenario B'!E16*Assumptions!$B$8*Assumptions!$C$8*Assumptions!$B$61*(1-Assumptions!$D$8))*0.6)/('Results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0.218524965802748</v>
      </c>
      <c r="W46" s="64" t="n">
        <f aca="false">(('Results Scenario B'!D17*Assumptions!$B$7*Assumptions!$C$7*Assumptions!$B$61*(1-Assumptions!$D$7)+'Results Scenario B'!E17*Assumptions!$B$8*Assumptions!$C$8*Assumptions!$B$61*(1-Assumptions!$D$8))*0.6)/('Results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0.221320502625548</v>
      </c>
      <c r="X46" s="64" t="n">
        <f aca="false">(('Results Scenario B'!D18*Assumptions!$B$7*Assumptions!$C$7*Assumptions!$B$61*(1-Assumptions!$D$7)+'Results Scenario B'!E18*Assumptions!$B$8*Assumptions!$C$8*Assumptions!$B$61*(1-Assumptions!$D$8))*0.6)/('Results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0.223942181924764</v>
      </c>
      <c r="Y46" s="64" t="n">
        <f aca="false">(('Results Scenario B'!D19*Assumptions!$B$7*Assumptions!$C$7*Assumptions!$B$61*(1-Assumptions!$D$7)+'Results Scenario B'!E19*Assumptions!$B$8*Assumptions!$C$8*Assumptions!$B$61*(1-Assumptions!$D$8))*0.6)/('Results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0.226367333902849</v>
      </c>
      <c r="Z46" s="64" t="n">
        <f aca="false">(('Results Scenario B'!D20*Assumptions!$B$7*Assumptions!$C$7*Assumptions!$B$61*(1-Assumptions!$D$7)+'Results Scenario B'!E20*Assumptions!$B$8*Assumptions!$C$8*Assumptions!$B$61*(1-Assumptions!$D$8))*0.6)/('Results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0.228570205378541</v>
      </c>
      <c r="AA46" s="64" t="n">
        <f aca="false">(('Results Scenario B'!D21*Assumptions!$B$7*Assumptions!$C$7*Assumptions!$B$61*(1-Assumptions!$D$7)+'Results Scenario B'!E21*Assumptions!$B$8*Assumptions!$C$8*Assumptions!$B$61*(1-Assumptions!$D$8))*0.6)/('Results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0.230521047584977</v>
      </c>
      <c r="AB46" s="64" t="n">
        <f aca="false">(('Results Scenario B'!D22*Assumptions!$B$7*Assumptions!$C$7*Assumptions!$B$61*(1-Assumptions!$D$7)+'Results Scenario B'!E22*Assumptions!$B$8*Assumptions!$C$8*Assumptions!$B$61*(1-Assumptions!$D$8))*0.6)/('Results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0.232185075501362</v>
      </c>
      <c r="AC46" s="64" t="n">
        <f aca="false">(('Results Scenario B'!D23*Assumptions!$B$7*Assumptions!$C$7*Assumptions!$B$61*(1-Assumptions!$D$7)+'Results Scenario B'!E23*Assumptions!$B$8*Assumptions!$C$8*Assumptions!$B$61*(1-Assumptions!$D$8))*0.6)/('Results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0.233521743037891</v>
      </c>
      <c r="AD46" s="64" t="n">
        <f aca="false">(('Results Scenario B'!D24*Assumptions!$B$7*Assumptions!$C$7*Assumptions!$B$61*(1-Assumptions!$D$7)+'Results Scenario B'!E24*Assumptions!$B$8*Assumptions!$C$8*Assumptions!$B$61*(1-Assumptions!$D$8))*0.6)/('Results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0.234485146936701</v>
      </c>
      <c r="AE46" s="64" t="n">
        <f aca="false">(('Results Scenario B'!D25*Assumptions!$B$7*Assumptions!$C$7*Assumptions!$B$61*(1-Assumptions!$D$7)+'Results Scenario B'!E25*Assumptions!$B$8*Assumptions!$C$8*Assumptions!$B$61*(1-Assumptions!$D$8))*0.6)/('Results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0.235026565042007</v>
      </c>
      <c r="AF46" s="64" t="n">
        <f aca="false">(('Results Scenario B'!D26*Assumptions!$B$7*Assumptions!$C$7*Assumptions!$B$61*(1-Assumptions!$D$7)+'Results Scenario B'!E26*Assumptions!$B$8*Assumptions!$C$8*Assumptions!$B$61*(1-Assumptions!$D$8))*0.6)/('Results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0.235099831308715</v>
      </c>
      <c r="AG46" s="64" t="n">
        <f aca="false">(('Results Scenario B'!D27*Assumptions!$B$7*Assumptions!$C$7*Assumptions!$B$61*(1-Assumptions!$D$7)+'Results Scenario B'!E27*Assumptions!$B$8*Assumptions!$C$8*Assumptions!$B$61*(1-Assumptions!$D$8))*0.6)/('Results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0.234669303270019</v>
      </c>
      <c r="AH46" s="64" t="n">
        <f aca="false">(('Results Scenario B'!D28*Assumptions!$B$7*Assumptions!$C$7*Assumptions!$B$61*(1-Assumptions!$D$7)+'Results Scenario B'!E28*Assumptions!$B$8*Assumptions!$C$8*Assumptions!$B$61*(1-Assumptions!$D$8))*0.6)/('Results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0.233718883378565</v>
      </c>
      <c r="AI46" s="64" t="n">
        <f aca="false">(('Results Scenario B'!D29*Assumptions!$B$7*Assumptions!$C$7*Assumptions!$B$61*(1-Assumptions!$D$7)+'Results Scenario B'!E29*Assumptions!$B$8*Assumptions!$C$8*Assumptions!$B$61*(1-Assumptions!$D$8))*0.6)/('Results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0.232259605831866</v>
      </c>
      <c r="AJ46" s="64" t="n">
        <f aca="false">(('Results Scenario B'!D30*Assumptions!$B$7*Assumptions!$C$7*Assumptions!$B$61*(1-Assumptions!$D$7)+'Results Scenario B'!E30*Assumptions!$B$8*Assumptions!$C$8*Assumptions!$B$61*(1-Assumptions!$D$8))*0.6)/('Results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0.230333325658553</v>
      </c>
      <c r="AK46" s="64" t="n">
        <f aca="false">(('Results Scenario B'!D31*Assumptions!$B$7*Assumptions!$C$7*Assumptions!$B$61*(1-Assumptions!$D$7)+'Results Scenario B'!E31*Assumptions!$B$8*Assumptions!$C$8*Assumptions!$B$61*(1-Assumptions!$D$8))*0.6)/('Results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0.228011127533278</v>
      </c>
      <c r="AL46" s="64" t="n">
        <f aca="false">(('Results Scenario B'!D32*Assumptions!$B$7*Assumptions!$C$7*Assumptions!$B$61*(1-Assumptions!$D$7)+'Results Scenario B'!E32*Assumptions!$B$8*Assumptions!$C$8*Assumptions!$B$61*(1-Assumptions!$D$8))*0.6)/('Results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0.225386687112007</v>
      </c>
      <c r="AM46" s="64" t="n">
        <f aca="false">(('Results Scenario B'!D33*Assumptions!$B$7*Assumptions!$C$7*Assumptions!$B$61*(1-Assumptions!$D$7)+'Results Scenario B'!E33*Assumptions!$B$8*Assumptions!$C$8*Assumptions!$B$61*(1-Assumptions!$D$8))*0.6)/('Results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0.222566233519881</v>
      </c>
      <c r="AN46" s="64" t="n">
        <f aca="false">(('Results Scenario B'!D34*Assumptions!$B$7*Assumptions!$C$7*Assumptions!$B$61*(1-Assumptions!$D$7)+'Results Scenario B'!E34*Assumptions!$B$8*Assumptions!$C$8*Assumptions!$B$61*(1-Assumptions!$D$8))*0.6)/('Results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0.219657465850937</v>
      </c>
      <c r="AO46" s="64" t="n">
        <f aca="false">(('Results Scenario B'!D35*Assumptions!$B$7*Assumptions!$C$7*Assumptions!$B$61*(1-Assumptions!$D$7)+'Results Scenario B'!E35*Assumptions!$B$8*Assumptions!$C$8*Assumptions!$B$61*(1-Assumptions!$D$8))*0.6)/('Results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0.216759661185478</v>
      </c>
      <c r="AP46" s="64" t="n">
        <f aca="false">(('Results Scenario B'!D36*Assumptions!$B$7*Assumptions!$C$7*Assumptions!$B$61*(1-Assumptions!$D$7)+'Results Scenario B'!E36*Assumptions!$B$8*Assumptions!$C$8*Assumptions!$B$61*(1-Assumptions!$D$8))*0.6)/('Results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0.213956501166031</v>
      </c>
      <c r="AQ46" s="64" t="n">
        <f aca="false">(('Results Scenario B'!D37*Assumptions!$B$7*Assumptions!$C$7*Assumptions!$B$61*(1-Assumptions!$D$7)+'Results Scenario B'!E37*Assumptions!$B$8*Assumptions!$C$8*Assumptions!$B$61*(1-Assumptions!$D$8))*0.6)/('Results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0.211312209807515</v>
      </c>
      <c r="AR46" s="64" t="n">
        <f aca="false">(('Results Scenario B'!D38*Assumptions!$B$7*Assumptions!$C$7*Assumptions!$B$61*(1-Assumptions!$D$7)+'Results Scenario B'!E38*Assumptions!$B$8*Assumptions!$C$8*Assumptions!$B$61*(1-Assumptions!$D$8))*0.6)/('Results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0.208870774212604</v>
      </c>
      <c r="AS46" s="64" t="n">
        <f aca="false">(('Results Scenario B'!D39*Assumptions!$B$7*Assumptions!$C$7*Assumptions!$B$61*(1-Assumptions!$D$7)+'Results Scenario B'!E39*Assumptions!$B$8*Assumptions!$C$8*Assumptions!$B$61*(1-Assumptions!$D$8))*0.6)/('Results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0.206657505721164</v>
      </c>
    </row>
    <row r="47" customFormat="false" ht="15" hidden="false" customHeight="true" outlineLevel="0" collapsed="false">
      <c r="I47" s="5" t="s">
        <v>231</v>
      </c>
      <c r="J47" s="64" t="n">
        <f aca="false">(('Results Scenario B'!D4*Assumptions!$B$7*Assumptions!$C$7*Assumptions!$B$61*(1-Assumptions!$D$7)+'Results Scenario B'!E4*Assumptions!$B$8*Assumptions!$C$8*Assumptions!$B$61*(1-Assumptions!$D$8))*0.4)/('Results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0.118103625938825</v>
      </c>
      <c r="K47" s="64" t="n">
        <f aca="false">(('Results Scenario B'!D5*Assumptions!$B$7*Assumptions!$C$7*Assumptions!$B$61*(1-Assumptions!$D$7)+'Results Scenario B'!E5*Assumptions!$B$8*Assumptions!$C$8*Assumptions!$B$61*(1-Assumptions!$D$8))*0.4)/('Results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0.120600139657215</v>
      </c>
      <c r="L47" s="64" t="n">
        <f aca="false">(('Results Scenario B'!D6*Assumptions!$B$7*Assumptions!$C$7*Assumptions!$B$61*(1-Assumptions!$D$7)+'Results Scenario B'!E6*Assumptions!$B$8*Assumptions!$C$8*Assumptions!$B$61*(1-Assumptions!$D$8))*0.4)/('Results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0.123080552273259</v>
      </c>
      <c r="M47" s="64" t="n">
        <f aca="false">(('Results Scenario B'!D7*Assumptions!$B$7*Assumptions!$C$7*Assumptions!$B$61*(1-Assumptions!$D$7)+'Results Scenario B'!E7*Assumptions!$B$8*Assumptions!$C$8*Assumptions!$B$61*(1-Assumptions!$D$8))*0.4)/('Results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0.125539912440535</v>
      </c>
      <c r="N47" s="64" t="n">
        <f aca="false">(('Results Scenario B'!D8*Assumptions!$B$7*Assumptions!$C$7*Assumptions!$B$61*(1-Assumptions!$D$7)+'Results Scenario B'!E8*Assumptions!$B$8*Assumptions!$C$8*Assumptions!$B$61*(1-Assumptions!$D$8))*0.4)/('Results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0.127972927720259</v>
      </c>
      <c r="O47" s="64" t="n">
        <f aca="false">(('Results Scenario B'!D9*Assumptions!$B$7*Assumptions!$C$7*Assumptions!$B$61*(1-Assumptions!$D$7)+'Results Scenario B'!E9*Assumptions!$B$8*Assumptions!$C$8*Assumptions!$B$61*(1-Assumptions!$D$8))*0.4)/('Results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0.130373903697374</v>
      </c>
      <c r="P47" s="64" t="n">
        <f aca="false">(('Results Scenario B'!D10*Assumptions!$B$7*Assumptions!$C$7*Assumptions!$B$61*(1-Assumptions!$D$7)+'Results Scenario B'!E10*Assumptions!$B$8*Assumptions!$C$8*Assumptions!$B$61*(1-Assumptions!$D$8))*0.4)/('Results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0.132736671617552</v>
      </c>
      <c r="Q47" s="64" t="n">
        <f aca="false">(('Results Scenario B'!D11*Assumptions!$B$7*Assumptions!$C$7*Assumptions!$B$61*(1-Assumptions!$D$7)+'Results Scenario B'!E11*Assumptions!$B$8*Assumptions!$C$8*Assumptions!$B$61*(1-Assumptions!$D$8))*0.4)/('Results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0.135054505380687</v>
      </c>
      <c r="R47" s="64" t="n">
        <f aca="false">(('Results Scenario B'!D12*Assumptions!$B$7*Assumptions!$C$7*Assumptions!$B$61*(1-Assumptions!$D$7)+'Results Scenario B'!E12*Assumptions!$B$8*Assumptions!$C$8*Assumptions!$B$61*(1-Assumptions!$D$8))*0.4)/('Results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0.137320029871393</v>
      </c>
      <c r="S47" s="64" t="n">
        <f aca="false">(('Results Scenario B'!D13*Assumptions!$B$7*Assumptions!$C$7*Assumptions!$B$61*(1-Assumptions!$D$7)+'Results Scenario B'!E13*Assumptions!$B$8*Assumptions!$C$8*Assumptions!$B$61*(1-Assumptions!$D$8))*0.4)/('Results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0.139525123651493</v>
      </c>
      <c r="T47" s="64" t="n">
        <f aca="false">(('Results Scenario B'!D14*Assumptions!$B$7*Assumptions!$C$7*Assumptions!$B$61*(1-Assumptions!$D$7)+'Results Scenario B'!E14*Assumptions!$B$8*Assumptions!$C$8*Assumptions!$B$61*(1-Assumptions!$D$8))*0.4)/('Results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0.141660819322096</v>
      </c>
      <c r="U47" s="64" t="n">
        <f aca="false">(('Results Scenario B'!D15*Assumptions!$B$7*Assumptions!$C$7*Assumptions!$B$61*(1-Assumptions!$D$7)+'Results Scenario B'!E15*Assumptions!$B$8*Assumptions!$C$8*Assumptions!$B$61*(1-Assumptions!$D$8))*0.4)/('Results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0.143717203193746</v>
      </c>
      <c r="V47" s="64" t="n">
        <f aca="false">(('Results Scenario B'!D16*Assumptions!$B$7*Assumptions!$C$7*Assumptions!$B$61*(1-Assumptions!$D$7)+'Results Scenario B'!E16*Assumptions!$B$8*Assumptions!$C$8*Assumptions!$B$61*(1-Assumptions!$D$8))*0.4)/('Results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0.145683310535165</v>
      </c>
      <c r="W47" s="64" t="n">
        <f aca="false">(('Results Scenario B'!D17*Assumptions!$B$7*Assumptions!$C$7*Assumptions!$B$61*(1-Assumptions!$D$7)+'Results Scenario B'!E17*Assumptions!$B$8*Assumptions!$C$8*Assumptions!$B$61*(1-Assumptions!$D$8))*0.4)/('Results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0.147547001750366</v>
      </c>
      <c r="X47" s="64" t="n">
        <f aca="false">(('Results Scenario B'!D18*Assumptions!$B$7*Assumptions!$C$7*Assumptions!$B$61*(1-Assumptions!$D$7)+'Results Scenario B'!E18*Assumptions!$B$8*Assumptions!$C$8*Assumptions!$B$61*(1-Assumptions!$D$8))*0.4)/('Results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0.149294787949843</v>
      </c>
      <c r="Y47" s="64" t="n">
        <f aca="false">(('Results Scenario B'!D19*Assumptions!$B$7*Assumptions!$C$7*Assumptions!$B$61*(1-Assumptions!$D$7)+'Results Scenario B'!E19*Assumptions!$B$8*Assumptions!$C$8*Assumptions!$B$61*(1-Assumptions!$D$8))*0.4)/('Results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0.150911555935232</v>
      </c>
      <c r="Z47" s="64" t="n">
        <f aca="false">(('Results Scenario B'!D20*Assumptions!$B$7*Assumptions!$C$7*Assumptions!$B$61*(1-Assumptions!$D$7)+'Results Scenario B'!E20*Assumptions!$B$8*Assumptions!$C$8*Assumptions!$B$61*(1-Assumptions!$D$8))*0.4)/('Results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0.152380136919027</v>
      </c>
      <c r="AA47" s="64" t="n">
        <f aca="false">(('Results Scenario B'!D21*Assumptions!$B$7*Assumptions!$C$7*Assumptions!$B$61*(1-Assumptions!$D$7)+'Results Scenario B'!E21*Assumptions!$B$8*Assumptions!$C$8*Assumptions!$B$61*(1-Assumptions!$D$8))*0.4)/('Results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0.153680698389985</v>
      </c>
      <c r="AB47" s="64" t="n">
        <f aca="false">(('Results Scenario B'!D22*Assumptions!$B$7*Assumptions!$C$7*Assumptions!$B$61*(1-Assumptions!$D$7)+'Results Scenario B'!E22*Assumptions!$B$8*Assumptions!$C$8*Assumptions!$B$61*(1-Assumptions!$D$8))*0.4)/('Results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0.154790050334241</v>
      </c>
      <c r="AC47" s="64" t="n">
        <f aca="false">(('Results Scenario B'!D23*Assumptions!$B$7*Assumptions!$C$7*Assumptions!$B$61*(1-Assumptions!$D$7)+'Results Scenario B'!E23*Assumptions!$B$8*Assumptions!$C$8*Assumptions!$B$61*(1-Assumptions!$D$8))*0.4)/('Results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0.155681162025261</v>
      </c>
      <c r="AD47" s="64" t="n">
        <f aca="false">(('Results Scenario B'!D24*Assumptions!$B$7*Assumptions!$C$7*Assumptions!$B$61*(1-Assumptions!$D$7)+'Results Scenario B'!E24*Assumptions!$B$8*Assumptions!$C$8*Assumptions!$B$61*(1-Assumptions!$D$8))*0.4)/('Results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0.156323431291134</v>
      </c>
      <c r="AE47" s="64" t="n">
        <f aca="false">(('Results Scenario B'!D25*Assumptions!$B$7*Assumptions!$C$7*Assumptions!$B$61*(1-Assumptions!$D$7)+'Results Scenario B'!E25*Assumptions!$B$8*Assumptions!$C$8*Assumptions!$B$61*(1-Assumptions!$D$8))*0.4)/('Results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0.156684376694671</v>
      </c>
      <c r="AF47" s="64" t="n">
        <f aca="false">(('Results Scenario B'!D26*Assumptions!$B$7*Assumptions!$C$7*Assumptions!$B$61*(1-Assumptions!$D$7)+'Results Scenario B'!E26*Assumptions!$B$8*Assumptions!$C$8*Assumptions!$B$61*(1-Assumptions!$D$8))*0.4)/('Results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0.156733220872477</v>
      </c>
      <c r="AG47" s="64" t="n">
        <f aca="false">(('Results Scenario B'!D27*Assumptions!$B$7*Assumptions!$C$7*Assumptions!$B$61*(1-Assumptions!$D$7)+'Results Scenario B'!E27*Assumptions!$B$8*Assumptions!$C$8*Assumptions!$B$61*(1-Assumptions!$D$8))*0.4)/('Results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0.156446202180012</v>
      </c>
      <c r="AH47" s="64" t="n">
        <f aca="false">(('Results Scenario B'!D28*Assumptions!$B$7*Assumptions!$C$7*Assumptions!$B$61*(1-Assumptions!$D$7)+'Results Scenario B'!E28*Assumptions!$B$8*Assumptions!$C$8*Assumptions!$B$61*(1-Assumptions!$D$8))*0.4)/('Results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0.155812588919043</v>
      </c>
      <c r="AI47" s="64" t="n">
        <f aca="false">(('Results Scenario B'!D29*Assumptions!$B$7*Assumptions!$C$7*Assumptions!$B$61*(1-Assumptions!$D$7)+'Results Scenario B'!E29*Assumptions!$B$8*Assumptions!$C$8*Assumptions!$B$61*(1-Assumptions!$D$8))*0.4)/('Results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0.154839737221244</v>
      </c>
      <c r="AJ47" s="64" t="n">
        <f aca="false">(('Results Scenario B'!D30*Assumptions!$B$7*Assumptions!$C$7*Assumptions!$B$61*(1-Assumptions!$D$7)+'Results Scenario B'!E30*Assumptions!$B$8*Assumptions!$C$8*Assumptions!$B$61*(1-Assumptions!$D$8))*0.4)/('Results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0.153555550439035</v>
      </c>
      <c r="AK47" s="64" t="n">
        <f aca="false">(('Results Scenario B'!D31*Assumptions!$B$7*Assumptions!$C$7*Assumptions!$B$61*(1-Assumptions!$D$7)+'Results Scenario B'!E31*Assumptions!$B$8*Assumptions!$C$8*Assumptions!$B$61*(1-Assumptions!$D$8))*0.4)/('Results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0.152007418355519</v>
      </c>
      <c r="AL47" s="64" t="n">
        <f aca="false">(('Results Scenario B'!D32*Assumptions!$B$7*Assumptions!$C$7*Assumptions!$B$61*(1-Assumptions!$D$7)+'Results Scenario B'!E32*Assumptions!$B$8*Assumptions!$C$8*Assumptions!$B$61*(1-Assumptions!$D$8))*0.4)/('Results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0.150257791408005</v>
      </c>
      <c r="AM47" s="64" t="n">
        <f aca="false">(('Results Scenario B'!D33*Assumptions!$B$7*Assumptions!$C$7*Assumptions!$B$61*(1-Assumptions!$D$7)+'Results Scenario B'!E33*Assumptions!$B$8*Assumptions!$C$8*Assumptions!$B$61*(1-Assumptions!$D$8))*0.4)/('Results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0.148377489013254</v>
      </c>
      <c r="AN47" s="64" t="n">
        <f aca="false">(('Results Scenario B'!D34*Assumptions!$B$7*Assumptions!$C$7*Assumptions!$B$61*(1-Assumptions!$D$7)+'Results Scenario B'!E34*Assumptions!$B$8*Assumptions!$C$8*Assumptions!$B$61*(1-Assumptions!$D$8))*0.4)/('Results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0.146438310567292</v>
      </c>
      <c r="AO47" s="64" t="n">
        <f aca="false">(('Results Scenario B'!D35*Assumptions!$B$7*Assumptions!$C$7*Assumptions!$B$61*(1-Assumptions!$D$7)+'Results Scenario B'!E35*Assumptions!$B$8*Assumptions!$C$8*Assumptions!$B$61*(1-Assumptions!$D$8))*0.4)/('Results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0.144506440790318</v>
      </c>
      <c r="AP47" s="64" t="n">
        <f aca="false">(('Results Scenario B'!D36*Assumptions!$B$7*Assumptions!$C$7*Assumptions!$B$61*(1-Assumptions!$D$7)+'Results Scenario B'!E36*Assumptions!$B$8*Assumptions!$C$8*Assumptions!$B$61*(1-Assumptions!$D$8))*0.4)/('Results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0.142637667444021</v>
      </c>
      <c r="AQ47" s="64" t="n">
        <f aca="false">(('Results Scenario B'!D37*Assumptions!$B$7*Assumptions!$C$7*Assumptions!$B$61*(1-Assumptions!$D$7)+'Results Scenario B'!E37*Assumptions!$B$8*Assumptions!$C$8*Assumptions!$B$61*(1-Assumptions!$D$8))*0.4)/('Results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0.140874806538344</v>
      </c>
      <c r="AR47" s="64" t="n">
        <f aca="false">(('Results Scenario B'!D38*Assumptions!$B$7*Assumptions!$C$7*Assumptions!$B$61*(1-Assumptions!$D$7)+'Results Scenario B'!E38*Assumptions!$B$8*Assumptions!$C$8*Assumptions!$B$61*(1-Assumptions!$D$8))*0.4)/('Results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0.139247182808403</v>
      </c>
      <c r="AS47" s="64" t="n">
        <f aca="false">(('Results Scenario B'!D39*Assumptions!$B$7*Assumptions!$C$7*Assumptions!$B$61*(1-Assumptions!$D$7)+'Results Scenario B'!E39*Assumptions!$B$8*Assumptions!$C$8*Assumptions!$B$61*(1-Assumptions!$D$8))*0.4)/('Results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0.137771670480776</v>
      </c>
    </row>
    <row r="48" customFormat="false" ht="15" hidden="false" customHeight="true" outlineLevel="0" collapsed="false">
      <c r="I48" s="5" t="s">
        <v>232</v>
      </c>
      <c r="J48" s="64" t="n">
        <f aca="false">('Results Scenario B'!F4*Assumptions!$B$9*Assumptions!$C$9*Assumptions!$B$61+'Results Scenario B'!G4*Assumptions!$B$10*Assumptions!$C$10*Assumptions!$B$61+'Results Scenario B'!H4*Assumptions!$B$11*Assumptions!$C$11*Assumptions!$B$61)/('Results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0.493061556917465</v>
      </c>
      <c r="K48" s="64" t="n">
        <f aca="false">('Results Scenario B'!F5*Assumptions!$B$9*Assumptions!$C$9*Assumptions!$B$61+'Results Scenario B'!G5*Assumptions!$B$10*Assumptions!$C$10*Assumptions!$B$61+'Results Scenario B'!H5*Assumptions!$B$11*Assumptions!$C$11*Assumptions!$B$61)/('Results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0.480971005483113</v>
      </c>
      <c r="L48" s="64" t="n">
        <f aca="false">('Results Scenario B'!F6*Assumptions!$B$9*Assumptions!$C$9*Assumptions!$B$61+'Results Scenario B'!G6*Assumptions!$B$10*Assumptions!$C$10*Assumptions!$B$61+'Results Scenario B'!H6*Assumptions!$B$11*Assumptions!$C$11*Assumptions!$B$61)/('Results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0.46887315850677</v>
      </c>
      <c r="M48" s="64" t="n">
        <f aca="false">('Results Scenario B'!F7*Assumptions!$B$9*Assumptions!$C$9*Assumptions!$B$61+'Results Scenario B'!G7*Assumptions!$B$10*Assumptions!$C$10*Assumptions!$B$61+'Results Scenario B'!H7*Assumptions!$B$11*Assumptions!$C$11*Assumptions!$B$61)/('Results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0.456789281510037</v>
      </c>
      <c r="N48" s="64" t="n">
        <f aca="false">('Results Scenario B'!F8*Assumptions!$B$9*Assumptions!$C$9*Assumptions!$B$61+'Results Scenario B'!G8*Assumptions!$B$10*Assumptions!$C$10*Assumptions!$B$61+'Results Scenario B'!H8*Assumptions!$B$11*Assumptions!$C$11*Assumptions!$B$61)/('Results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0.444742956421601</v>
      </c>
      <c r="O48" s="64" t="n">
        <f aca="false">('Results Scenario B'!F9*Assumptions!$B$9*Assumptions!$C$9*Assumptions!$B$61+'Results Scenario B'!G9*Assumptions!$B$10*Assumptions!$C$10*Assumptions!$B$61+'Results Scenario B'!H9*Assumptions!$B$11*Assumptions!$C$11*Assumptions!$B$61)/('Results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0.432760666511095</v>
      </c>
      <c r="P48" s="64" t="n">
        <f aca="false">('Results Scenario B'!F10*Assumptions!$B$9*Assumptions!$C$9*Assumptions!$B$61+'Results Scenario B'!G10*Assumptions!$B$10*Assumptions!$C$10*Assumptions!$B$61+'Results Scenario B'!H10*Assumptions!$B$11*Assumptions!$C$11*Assumptions!$B$61)/('Results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0.420872548720374</v>
      </c>
      <c r="Q48" s="64" t="n">
        <f aca="false">('Results Scenario B'!F11*Assumptions!$B$9*Assumptions!$C$9*Assumptions!$B$61+'Results Scenario B'!G11*Assumptions!$B$10*Assumptions!$C$10*Assumptions!$B$61+'Results Scenario B'!H11*Assumptions!$B$11*Assumptions!$C$11*Assumptions!$B$61)/('Results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0.409113343998682</v>
      </c>
      <c r="R48" s="64" t="n">
        <f aca="false">('Results Scenario B'!F12*Assumptions!$B$9*Assumptions!$C$9*Assumptions!$B$61+'Results Scenario B'!G12*Assumptions!$B$10*Assumptions!$C$10*Assumptions!$B$61+'Results Scenario B'!H12*Assumptions!$B$11*Assumptions!$C$11*Assumptions!$B$61)/('Results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0.397523573810824</v>
      </c>
      <c r="S48" s="64" t="n">
        <f aca="false">('Results Scenario B'!F13*Assumptions!$B$9*Assumptions!$C$9*Assumptions!$B$61+'Results Scenario B'!G13*Assumptions!$B$10*Assumptions!$C$10*Assumptions!$B$61+'Results Scenario B'!H13*Assumptions!$B$11*Assumptions!$C$11*Assumptions!$B$61)/('Results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0.386150962152951</v>
      </c>
      <c r="T48" s="64" t="n">
        <f aca="false">('Results Scenario B'!F14*Assumptions!$B$9*Assumptions!$C$9*Assumptions!$B$61+'Results Scenario B'!G14*Assumptions!$B$10*Assumptions!$C$10*Assumptions!$B$61+'Results Scenario B'!H14*Assumptions!$B$11*Assumptions!$C$11*Assumptions!$B$61)/('Results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0.375052102965172</v>
      </c>
      <c r="U48" s="64" t="n">
        <f aca="false">('Results Scenario B'!F15*Assumptions!$B$9*Assumptions!$C$9*Assumptions!$B$61+'Results Scenario B'!G15*Assumptions!$B$10*Assumptions!$C$10*Assumptions!$B$61+'Results Scenario B'!H15*Assumptions!$B$11*Assumptions!$C$11*Assumptions!$B$61)/('Results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0.364294336966298</v>
      </c>
      <c r="V48" s="64" t="n">
        <f aca="false">('Results Scenario B'!F16*Assumptions!$B$9*Assumptions!$C$9*Assumptions!$B$61+'Results Scenario B'!G16*Assumptions!$B$10*Assumptions!$C$10*Assumptions!$B$61+'Results Scenario B'!H16*Assumptions!$B$11*Assumptions!$C$11*Assumptions!$B$61)/('Results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0.353957742499371</v>
      </c>
      <c r="W48" s="64" t="n">
        <f aca="false">('Results Scenario B'!F17*Assumptions!$B$9*Assumptions!$C$9*Assumptions!$B$61+'Results Scenario B'!G17*Assumptions!$B$10*Assumptions!$C$10*Assumptions!$B$61+'Results Scenario B'!H17*Assumptions!$B$11*Assumptions!$C$11*Assumptions!$B$61)/('Results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0.344137054824242</v>
      </c>
      <c r="X48" s="64" t="n">
        <f aca="false">('Results Scenario B'!F18*Assumptions!$B$9*Assumptions!$C$9*Assumptions!$B$61+'Results Scenario B'!G18*Assumptions!$B$10*Assumptions!$C$10*Assumptions!$B$61+'Results Scenario B'!H18*Assumptions!$B$11*Assumptions!$C$11*Assumptions!$B$61)/('Results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0.334943203725973</v>
      </c>
      <c r="Y48" s="64" t="n">
        <f aca="false">('Results Scenario B'!F19*Assumptions!$B$9*Assumptions!$C$9*Assumptions!$B$61+'Results Scenario B'!G19*Assumptions!$B$10*Assumptions!$C$10*Assumptions!$B$61+'Results Scenario B'!H19*Assumptions!$B$11*Assumptions!$C$11*Assumptions!$B$61)/('Results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0.326504006525023</v>
      </c>
      <c r="Z48" s="64" t="n">
        <f aca="false">('Results Scenario B'!F20*Assumptions!$B$9*Assumptions!$C$9*Assumptions!$B$61+'Results Scenario B'!G20*Assumptions!$B$10*Assumptions!$C$10*Assumptions!$B$61+'Results Scenario B'!H20*Assumptions!$B$11*Assumptions!$C$11*Assumptions!$B$61)/('Results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0.318963397918299</v>
      </c>
      <c r="AA48" s="64" t="n">
        <f aca="false">('Results Scenario B'!F21*Assumptions!$B$9*Assumptions!$C$9*Assumptions!$B$61+'Results Scenario B'!G21*Assumptions!$B$10*Assumptions!$C$10*Assumptions!$B$61+'Results Scenario B'!H21*Assumptions!$B$11*Assumptions!$C$11*Assumptions!$B$61)/('Results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0.312478472415007</v>
      </c>
      <c r="AB48" s="64" t="n">
        <f aca="false">('Results Scenario B'!F22*Assumptions!$B$9*Assumptions!$C$9*Assumptions!$B$61+'Results Scenario B'!G22*Assumptions!$B$10*Assumptions!$C$10*Assumptions!$B$61+'Results Scenario B'!H22*Assumptions!$B$11*Assumptions!$C$11*Assumptions!$B$61)/('Results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0.307213638348995</v>
      </c>
      <c r="AC48" s="64" t="n">
        <f aca="false">('Results Scenario B'!F23*Assumptions!$B$9*Assumptions!$C$9*Assumptions!$B$61+'Results Scenario B'!G23*Assumptions!$B$10*Assumptions!$C$10*Assumptions!$B$61+'Results Scenario B'!H23*Assumptions!$B$11*Assumptions!$C$11*Assumptions!$B$61)/('Results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0.303331416464409</v>
      </c>
      <c r="AD48" s="64" t="n">
        <f aca="false">('Results Scenario B'!F24*Assumptions!$B$9*Assumptions!$C$9*Assumptions!$B$61+'Results Scenario B'!G24*Assumptions!$B$10*Assumptions!$C$10*Assumptions!$B$61+'Results Scenario B'!H24*Assumptions!$B$11*Assumptions!$C$11*Assumptions!$B$61)/('Results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0.300979900025309</v>
      </c>
      <c r="AE48" s="64" t="n">
        <f aca="false">('Results Scenario B'!F25*Assumptions!$B$9*Assumptions!$C$9*Assumptions!$B$61+'Results Scenario B'!G25*Assumptions!$B$10*Assumptions!$C$10*Assumptions!$B$61+'Results Scenario B'!H25*Assumptions!$B$11*Assumptions!$C$11*Assumptions!$B$61)/('Results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0.3002775811065</v>
      </c>
      <c r="AF48" s="64" t="n">
        <f aca="false">('Results Scenario B'!F26*Assumptions!$B$9*Assumptions!$C$9*Assumptions!$B$61+'Results Scenario B'!G26*Assumptions!$B$10*Assumptions!$C$10*Assumptions!$B$61+'Results Scenario B'!H26*Assumptions!$B$11*Assumptions!$C$11*Assumptions!$B$61)/('Results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0.301297013028661</v>
      </c>
      <c r="AG48" s="64" t="n">
        <f aca="false">('Results Scenario B'!F27*Assumptions!$B$9*Assumptions!$C$9*Assumptions!$B$61+'Results Scenario B'!G27*Assumptions!$B$10*Assumptions!$C$10*Assumptions!$B$61+'Results Scenario B'!H27*Assumptions!$B$11*Assumptions!$C$11*Assumptions!$B$61)/('Results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0.304049474841149</v>
      </c>
      <c r="AH48" s="64" t="n">
        <f aca="false">('Results Scenario B'!F28*Assumptions!$B$9*Assumptions!$C$9*Assumptions!$B$61+'Results Scenario B'!G28*Assumptions!$B$10*Assumptions!$C$10*Assumptions!$B$61+'Results Scenario B'!H28*Assumptions!$B$11*Assumptions!$C$11*Assumptions!$B$61)/('Results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0.308473298768449</v>
      </c>
      <c r="AI48" s="64" t="n">
        <f aca="false">('Results Scenario B'!F29*Assumptions!$B$9*Assumptions!$C$9*Assumptions!$B$61+'Results Scenario B'!G29*Assumptions!$B$10*Assumptions!$C$10*Assumptions!$B$61+'Results Scenario B'!H29*Assumptions!$B$11*Assumptions!$C$11*Assumptions!$B$61)/('Results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0.314428643134893</v>
      </c>
      <c r="AJ48" s="64" t="n">
        <f aca="false">('Results Scenario B'!F30*Assumptions!$B$9*Assumptions!$C$9*Assumptions!$B$61+'Results Scenario B'!G30*Assumptions!$B$10*Assumptions!$C$10*Assumptions!$B$61+'Results Scenario B'!H30*Assumptions!$B$11*Assumptions!$C$11*Assumptions!$B$61)/('Results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0.321700975778669</v>
      </c>
      <c r="AK48" s="64" t="n">
        <f aca="false">('Results Scenario B'!F31*Assumptions!$B$9*Assumptions!$C$9*Assumptions!$B$61+'Results Scenario B'!G31*Assumptions!$B$10*Assumptions!$C$10*Assumptions!$B$61+'Results Scenario B'!H31*Assumptions!$B$11*Assumptions!$C$11*Assumptions!$B$61)/('Results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0.330014162274666</v>
      </c>
      <c r="AL48" s="64" t="n">
        <f aca="false">('Results Scenario B'!F32*Assumptions!$B$9*Assumptions!$C$9*Assumptions!$B$61+'Results Scenario B'!G32*Assumptions!$B$10*Assumptions!$C$10*Assumptions!$B$61+'Results Scenario B'!H32*Assumptions!$B$11*Assumptions!$C$11*Assumptions!$B$61)/('Results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0.339051977558335</v>
      </c>
      <c r="AM48" s="64" t="n">
        <f aca="false">('Results Scenario B'!F33*Assumptions!$B$9*Assumptions!$C$9*Assumptions!$B$61+'Results Scenario B'!G33*Assumptions!$B$10*Assumptions!$C$10*Assumptions!$B$61+'Results Scenario B'!H33*Assumptions!$B$11*Assumptions!$C$11*Assumptions!$B$61)/('Results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0.348484729022361</v>
      </c>
      <c r="AN48" s="64" t="n">
        <f aca="false">('Results Scenario B'!F34*Assumptions!$B$9*Assumptions!$C$9*Assumptions!$B$61+'Results Scenario B'!G34*Assumptions!$B$10*Assumptions!$C$10*Assumptions!$B$61+'Results Scenario B'!H34*Assumptions!$B$11*Assumptions!$C$11*Assumptions!$B$61)/('Results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0.357996363972158</v>
      </c>
      <c r="AO48" s="64" t="n">
        <f aca="false">('Results Scenario B'!F35*Assumptions!$B$9*Assumptions!$C$9*Assumptions!$B$61+'Results Scenario B'!G35*Assumptions!$B$10*Assumptions!$C$10*Assumptions!$B$61+'Results Scenario B'!H35*Assumptions!$B$11*Assumptions!$C$11*Assumptions!$B$61)/('Results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0.36730749830781</v>
      </c>
      <c r="AP48" s="64" t="n">
        <f aca="false">('Results Scenario B'!F36*Assumptions!$B$9*Assumptions!$C$9*Assumptions!$B$61+'Results Scenario B'!G36*Assumptions!$B$10*Assumptions!$C$10*Assumptions!$B$61+'Results Scenario B'!H36*Assumptions!$B$11*Assumptions!$C$11*Assumptions!$B$61)/('Results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0.376191165173472</v>
      </c>
      <c r="AQ48" s="64" t="n">
        <f aca="false">('Results Scenario B'!F37*Assumptions!$B$9*Assumptions!$C$9*Assumptions!$B$61+'Results Scenario B'!G37*Assumptions!$B$10*Assumptions!$C$10*Assumptions!$B$61+'Results Scenario B'!H37*Assumptions!$B$11*Assumptions!$C$11*Assumptions!$B$61)/('Results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0.384480109520769</v>
      </c>
      <c r="AR48" s="64" t="n">
        <f aca="false">('Results Scenario B'!F38*Assumptions!$B$9*Assumptions!$C$9*Assumptions!$B$61+'Results Scenario B'!G38*Assumptions!$B$10*Assumptions!$C$10*Assumptions!$B$61+'Results Scenario B'!H38*Assumptions!$B$11*Assumptions!$C$11*Assumptions!$B$61)/('Results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0.39206636275054</v>
      </c>
      <c r="AS48" s="64" t="n">
        <f aca="false">('Results Scenario B'!F39*Assumptions!$B$9*Assumptions!$C$9*Assumptions!$B$61+'Results Scenario B'!G39*Assumptions!$B$10*Assumptions!$C$10*Assumptions!$B$61+'Results Scenario B'!H39*Assumptions!$B$11*Assumptions!$C$11*Assumptions!$B$61)/('Results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0.398895074113526</v>
      </c>
    </row>
    <row r="49" customFormat="false" ht="15" hidden="false" customHeight="true" outlineLevel="0" collapsed="false">
      <c r="I49" s="5" t="s">
        <v>233</v>
      </c>
      <c r="J49" s="64" t="n">
        <f aca="false">'Results Scenario B'!C4*Assumptions!$B$6*Assumptions!$C$6*Assumptions!$B$61*(1-Assumptions!$D$6)*Assumptions!$B$89/Assumptions!$B$6/('Results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0.0233569296201106</v>
      </c>
      <c r="K49" s="64" t="n">
        <f aca="false">'Results Scenario B'!C5*Assumptions!$B$6*Assumptions!$C$6*Assumptions!$B$61*(1-Assumptions!$D$6)*Assumptions!$B$89/Assumptions!$B$6/('Results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0.0246155365823272</v>
      </c>
      <c r="L49" s="64" t="n">
        <f aca="false">'Results Scenario B'!C6*Assumptions!$B$6*Assumptions!$C$6*Assumptions!$B$61*(1-Assumptions!$D$6)*Assumptions!$B$89/Assumptions!$B$6/('Results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0.0259219828910615</v>
      </c>
      <c r="M49" s="64" t="n">
        <f aca="false">'Results Scenario B'!C7*Assumptions!$B$6*Assumptions!$C$6*Assumptions!$B$61*(1-Assumptions!$D$6)*Assumptions!$B$89/Assumptions!$B$6/('Results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0.0272756585329566</v>
      </c>
      <c r="N49" s="64" t="n">
        <f aca="false">'Results Scenario B'!C8*Assumptions!$B$6*Assumptions!$C$6*Assumptions!$B$61*(1-Assumptions!$D$6)*Assumptions!$B$89/Assumptions!$B$6/('Results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0.0286752832874087</v>
      </c>
      <c r="O49" s="64" t="n">
        <f aca="false">'Results Scenario B'!C9*Assumptions!$B$6*Assumptions!$C$6*Assumptions!$B$61*(1-Assumptions!$D$6)*Assumptions!$B$89/Assumptions!$B$6/('Results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0.0301186588470524</v>
      </c>
      <c r="P49" s="64" t="n">
        <f aca="false">'Results Scenario B'!C10*Assumptions!$B$6*Assumptions!$C$6*Assumptions!$B$61*(1-Assumptions!$D$6)*Assumptions!$B$89/Assumptions!$B$6/('Results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0.0316023330603117</v>
      </c>
      <c r="Q49" s="64" t="n">
        <f aca="false">'Results Scenario B'!C11*Assumptions!$B$6*Assumptions!$C$6*Assumptions!$B$61*(1-Assumptions!$D$6)*Assumptions!$B$89/Assumptions!$B$6/('Results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0.0331211515833452</v>
      </c>
      <c r="R49" s="64" t="n">
        <f aca="false">'Results Scenario B'!C12*Assumptions!$B$6*Assumptions!$C$6*Assumptions!$B$61*(1-Assumptions!$D$6)*Assumptions!$B$89/Assumptions!$B$6/('Results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0.0346676706691942</v>
      </c>
      <c r="S49" s="64" t="n">
        <f aca="false">'Results Scenario B'!C13*Assumptions!$B$6*Assumptions!$C$6*Assumptions!$B$61*(1-Assumptions!$D$6)*Assumptions!$B$89/Assumptions!$B$6/('Results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0.0362314083406923</v>
      </c>
      <c r="T49" s="64" t="n">
        <f aca="false">'Results Scenario B'!C14*Assumptions!$B$6*Assumptions!$C$6*Assumptions!$B$61*(1-Assumptions!$D$6)*Assumptions!$B$89/Assumptions!$B$6/('Results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0.0377979249564743</v>
      </c>
      <c r="U49" s="64" t="n">
        <f aca="false">'Results Scenario B'!C15*Assumptions!$B$6*Assumptions!$C$6*Assumptions!$B$61*(1-Assumptions!$D$6)*Assumptions!$B$89/Assumptions!$B$6/('Results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0.0393477561660498</v>
      </c>
      <c r="V49" s="64" t="n">
        <f aca="false">'Results Scenario B'!C16*Assumptions!$B$6*Assumptions!$C$6*Assumptions!$B$61*(1-Assumptions!$D$6)*Assumptions!$B$89/Assumptions!$B$6/('Results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0.0408552821549864</v>
      </c>
      <c r="W49" s="64" t="n">
        <f aca="false">'Results Scenario B'!C17*Assumptions!$B$6*Assumptions!$C$6*Assumptions!$B$61*(1-Assumptions!$D$6)*Assumptions!$B$89/Assumptions!$B$6/('Results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0.0422877178926824</v>
      </c>
      <c r="X49" s="64" t="n">
        <f aca="false">'Results Scenario B'!C18*Assumptions!$B$6*Assumptions!$C$6*Assumptions!$B$61*(1-Assumptions!$D$6)*Assumptions!$B$89/Assumptions!$B$6/('Results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0.0436045536921279</v>
      </c>
      <c r="Y49" s="64" t="n">
        <f aca="false">'Results Scenario B'!C19*Assumptions!$B$6*Assumptions!$C$6*Assumptions!$B$61*(1-Assumptions!$D$6)*Assumptions!$B$89/Assumptions!$B$6/('Results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0.0447579452075703</v>
      </c>
      <c r="Z49" s="64" t="n">
        <f aca="false">'Results Scenario B'!C20*Assumptions!$B$6*Assumptions!$C$6*Assumptions!$B$61*(1-Assumptions!$D$6)*Assumptions!$B$89/Assumptions!$B$6/('Results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0.0456946832137852</v>
      </c>
      <c r="AA49" s="64" t="n">
        <f aca="false">'Results Scenario B'!C21*Assumptions!$B$6*Assumptions!$C$6*Assumptions!$B$61*(1-Assumptions!$D$6)*Assumptions!$B$89/Assumptions!$B$6/('Results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0.0463603389624027</v>
      </c>
      <c r="AB49" s="64" t="n">
        <f aca="false">'Results Scenario B'!C22*Assumptions!$B$6*Assumptions!$C$6*Assumptions!$B$61*(1-Assumptions!$D$6)*Assumptions!$B$89/Assumptions!$B$6/('Results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0.0467058097699774</v>
      </c>
      <c r="AC49" s="64" t="n">
        <f aca="false">'Results Scenario B'!C23*Assumptions!$B$6*Assumptions!$C$6*Assumptions!$B$61*(1-Assumptions!$D$6)*Assumptions!$B$89/Assumptions!$B$6/('Results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0.0466956705187949</v>
      </c>
      <c r="AD49" s="64" t="n">
        <f aca="false">'Results Scenario B'!C24*Assumptions!$B$6*Assumptions!$C$6*Assumptions!$B$61*(1-Assumptions!$D$6)*Assumptions!$B$89/Assumptions!$B$6/('Results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0.0463166083188086</v>
      </c>
      <c r="AE49" s="64" t="n">
        <f aca="false">'Results Scenario B'!C25*Assumptions!$B$6*Assumptions!$C$6*Assumptions!$B$61*(1-Assumptions!$D$6)*Assumptions!$B$89/Assumptions!$B$6/('Results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0.0455833128543444</v>
      </c>
      <c r="AF49" s="64" t="n">
        <f aca="false">'Results Scenario B'!C26*Assumptions!$B$6*Assumptions!$C$6*Assumptions!$B$61*(1-Assumptions!$D$6)*Assumptions!$B$89/Assumptions!$B$6/('Results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0.0445392792096802</v>
      </c>
      <c r="AG49" s="64" t="n">
        <f aca="false">'Results Scenario B'!C27*Assumptions!$B$6*Assumptions!$C$6*Assumptions!$B$61*(1-Assumptions!$D$6)*Assumptions!$B$89/Assumptions!$B$6/('Results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0.0432514649841759</v>
      </c>
      <c r="AH49" s="64" t="n">
        <f aca="false">'Results Scenario B'!C28*Assumptions!$B$6*Assumptions!$C$6*Assumptions!$B$61*(1-Assumptions!$D$6)*Assumptions!$B$89/Assumptions!$B$6/('Results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0.0418000935372894</v>
      </c>
      <c r="AI49" s="64" t="n">
        <f aca="false">'Results Scenario B'!C29*Assumptions!$B$6*Assumptions!$C$6*Assumptions!$B$61*(1-Assumptions!$D$6)*Assumptions!$B$89/Assumptions!$B$6/('Results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0.0402667738195103</v>
      </c>
      <c r="AJ49" s="64" t="n">
        <f aca="false">'Results Scenario B'!C30*Assumptions!$B$6*Assumptions!$C$6*Assumptions!$B$61*(1-Assumptions!$D$6)*Assumptions!$B$89/Assumptions!$B$6/('Results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0.0387243910057631</v>
      </c>
      <c r="AK49" s="64" t="n">
        <f aca="false">'Results Scenario B'!C31*Assumptions!$B$6*Assumptions!$C$6*Assumptions!$B$61*(1-Assumptions!$D$6)*Assumptions!$B$89/Assumptions!$B$6/('Results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0.0372309244517115</v>
      </c>
      <c r="AL49" s="64" t="n">
        <f aca="false">'Results Scenario B'!C32*Assumptions!$B$6*Assumptions!$C$6*Assumptions!$B$61*(1-Assumptions!$D$6)*Assumptions!$B$89/Assumptions!$B$6/('Results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0.0358274858776957</v>
      </c>
      <c r="AM49" s="64" t="n">
        <f aca="false">'Results Scenario B'!C33*Assumptions!$B$6*Assumptions!$C$6*Assumptions!$B$61*(1-Assumptions!$D$6)*Assumptions!$B$89/Assumptions!$B$6/('Results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0.03453951511761</v>
      </c>
      <c r="AN49" s="64" t="n">
        <f aca="false">'Results Scenario B'!C34*Assumptions!$B$6*Assumptions!$C$6*Assumptions!$B$61*(1-Assumptions!$D$6)*Assumptions!$B$89/Assumptions!$B$6/('Results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0.033379636736151</v>
      </c>
      <c r="AO49" s="64" t="n">
        <f aca="false">'Results Scenario B'!C35*Assumptions!$B$6*Assumptions!$C$6*Assumptions!$B$61*(1-Assumptions!$D$6)*Assumptions!$B$89/Assumptions!$B$6/('Results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0.0323509398941115</v>
      </c>
      <c r="AP49" s="64" t="n">
        <f aca="false">'Results Scenario B'!C36*Assumptions!$B$6*Assumptions!$C$6*Assumptions!$B$61*(1-Assumptions!$D$6)*Assumptions!$B$89/Assumptions!$B$6/('Results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0.0314499537712316</v>
      </c>
      <c r="AQ49" s="64" t="n">
        <f aca="false">'Results Scenario B'!C37*Assumptions!$B$6*Assumptions!$C$6*Assumptions!$B$61*(1-Assumptions!$D$6)*Assumptions!$B$89/Assumptions!$B$6/('Results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0.0306690343907145</v>
      </c>
      <c r="AR49" s="64" t="n">
        <f aca="false">'Results Scenario B'!C38*Assumptions!$B$6*Assumptions!$C$6*Assumptions!$B$61*(1-Assumptions!$D$6)*Assumptions!$B$89/Assumptions!$B$6/('Results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0.0299981451864624</v>
      </c>
      <c r="AS49" s="64" t="n">
        <f aca="false">'Results Scenario B'!C39*Assumptions!$B$6*Assumptions!$C$6*Assumptions!$B$61*(1-Assumptions!$D$6)*Assumptions!$B$89/Assumptions!$B$6/('Results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0.029426125901801</v>
      </c>
    </row>
    <row r="50" customFormat="false" ht="15" hidden="false" customHeight="true" outlineLevel="0" collapsed="false">
      <c r="I50" s="5" t="s">
        <v>234</v>
      </c>
      <c r="J50" s="64" t="n">
        <f aca="false">$B5*J$45+$C5*J$46+$D5*J$47+$E5*J$48+$F5*J$49</f>
        <v>0.074672417114618</v>
      </c>
      <c r="K50" s="64" t="n">
        <f aca="false">$B5*K$45+$C5*K$46+$D5*K$47+$E5*K$48+$F5*K$49</f>
        <v>0.0738504073539834</v>
      </c>
      <c r="L50" s="64" t="n">
        <f aca="false">$B5*L$45+$C5*L$46+$D5*L$47+$E5*L$48+$F5*L$49</f>
        <v>0.0730283474493624</v>
      </c>
      <c r="M50" s="64" t="n">
        <f aca="false">$B5*M$45+$C5*M$46+$D5*M$47+$E5*M$48+$F5*M$49</f>
        <v>0.0722076889095901</v>
      </c>
      <c r="N50" s="64" t="n">
        <f aca="false">$B5*N$45+$C5*N$46+$D5*N$47+$E5*N$48+$F5*N$49</f>
        <v>0.0713900422567302</v>
      </c>
      <c r="O50" s="64" t="n">
        <f aca="false">$B5*O$45+$C5*O$46+$D5*O$47+$E5*O$48+$F5*O$49</f>
        <v>0.070577217435329</v>
      </c>
      <c r="P50" s="64" t="n">
        <f aca="false">$B5*P$45+$C5*P$46+$D5*P$47+$E5*P$48+$F5*P$49</f>
        <v>0.069771275719457</v>
      </c>
      <c r="Q50" s="64" t="n">
        <f aca="false">$B5*Q$45+$C5*Q$46+$D5*Q$47+$E5*Q$48+$F5*Q$49</f>
        <v>0.0689745952097068</v>
      </c>
      <c r="R50" s="64" t="n">
        <f aca="false">$B5*R$45+$C5*R$46+$D5*R$47+$E5*R$48+$F5*R$49</f>
        <v>0.0681899518382093</v>
      </c>
      <c r="S50" s="64" t="n">
        <f aca="false">$B5*S$45+$C5*S$46+$D5*S$47+$E5*S$48+$F5*S$49</f>
        <v>0.0674206171774841</v>
      </c>
      <c r="T50" s="64" t="n">
        <f aca="false">$B5*T$45+$C5*T$46+$D5*T$47+$E5*T$48+$F5*T$49</f>
        <v>0.0666704729800515</v>
      </c>
      <c r="U50" s="64" t="n">
        <f aca="false">$B5*U$45+$C5*U$46+$D5*U$47+$E5*U$48+$F5*U$49</f>
        <v>0.0659441398464553</v>
      </c>
      <c r="V50" s="64" t="n">
        <f aca="false">$B5*V$45+$C5*V$46+$D5*V$47+$E5*V$48+$F5*V$49</f>
        <v>0.0652471132181326</v>
      </c>
      <c r="W50" s="64" t="n">
        <f aca="false">$B5*W$45+$C5*W$46+$D5*W$47+$E5*W$48+$F5*W$49</f>
        <v>0.0645858935090579</v>
      </c>
      <c r="X50" s="64" t="n">
        <f aca="false">$B5*X$45+$C5*X$46+$D5*X$47+$E5*X$48+$F5*X$49</f>
        <v>0.0639680883760655</v>
      </c>
      <c r="Y50" s="64" t="n">
        <f aca="false">$B5*Y$45+$C5*Y$46+$D5*Y$47+$E5*Y$48+$F5*Y$49</f>
        <v>0.0634024543793253</v>
      </c>
      <c r="Z50" s="64" t="n">
        <f aca="false">$B5*Z$45+$C5*Z$46+$D5*Z$47+$E5*Z$48+$F5*Z$49</f>
        <v>0.0628988345471524</v>
      </c>
      <c r="AA50" s="64" t="n">
        <f aca="false">$B5*AA$45+$C5*AA$46+$D5*AA$47+$E5*AA$48+$F5*AA$49</f>
        <v>0.0624679416484595</v>
      </c>
      <c r="AB50" s="64" t="n">
        <f aca="false">$B5*AB$45+$C5*AB$46+$D5*AB$47+$E5*AB$48+$F5*AB$49</f>
        <v>0.0621209401826656</v>
      </c>
      <c r="AC50" s="64" t="n">
        <f aca="false">$B5*AC$45+$C5*AC$46+$D5*AC$47+$E5*AC$48+$F5*AC$49</f>
        <v>0.0618687990202628</v>
      </c>
      <c r="AD50" s="64" t="n">
        <f aca="false">$B5*AD$45+$C5*AD$46+$D5*AD$47+$E5*AD$48+$F5*AD$49</f>
        <v>0.0617214231521614</v>
      </c>
      <c r="AE50" s="64" t="n">
        <f aca="false">$B5*AE$45+$C5*AE$46+$D5*AE$47+$E5*AE$48+$F5*AE$49</f>
        <v>0.0616866217378462</v>
      </c>
      <c r="AF50" s="64" t="n">
        <f aca="false">$B5*AF$45+$C5*AF$46+$D5*AF$47+$E5*AF$48+$F5*AF$49</f>
        <v>0.0617690191061722</v>
      </c>
      <c r="AG50" s="64" t="n">
        <f aca="false">$B5*AG$45+$C5*AG$46+$D5*AG$47+$E5*AG$48+$F5*AG$49</f>
        <v>0.0619690545798268</v>
      </c>
      <c r="AH50" s="64" t="n">
        <f aca="false">$B5*AH$45+$C5*AH$46+$D5*AH$47+$E5*AH$48+$F5*AH$49</f>
        <v>0.0622822403500403</v>
      </c>
      <c r="AI50" s="64" t="n">
        <f aca="false">$B5*AI$45+$C5*AI$46+$D5*AI$47+$E5*AI$48+$F5*AI$49</f>
        <v>0.0626988489619953</v>
      </c>
      <c r="AJ50" s="64" t="n">
        <f aca="false">$B5*AJ$45+$C5*AJ$46+$D5*AJ$47+$E5*AJ$48+$F5*AJ$49</f>
        <v>0.0632041699504232</v>
      </c>
      <c r="AK50" s="64" t="n">
        <f aca="false">$B5*AK$45+$C5*AK$46+$D5*AK$47+$E5*AK$48+$F5*AK$49</f>
        <v>0.0637793926659979</v>
      </c>
      <c r="AL50" s="64" t="n">
        <f aca="false">$B5*AL$45+$C5*AL$46+$D5*AL$47+$E5*AL$48+$F5*AL$49</f>
        <v>0.0644030426356731</v>
      </c>
      <c r="AM50" s="64" t="n">
        <f aca="false">$B5*AM$45+$C5*AM$46+$D5*AM$47+$E5*AM$48+$F5*AM$49</f>
        <v>0.0650527596648829</v>
      </c>
      <c r="AN50" s="64" t="n">
        <f aca="false">$B5*AN$45+$C5*AN$46+$D5*AN$47+$E5*AN$48+$F5*AN$49</f>
        <v>0.0657071148168149</v>
      </c>
      <c r="AO50" s="64" t="n">
        <f aca="false">$B5*AO$45+$C5*AO$46+$D5*AO$47+$E5*AO$48+$F5*AO$49</f>
        <v>0.066347161693678</v>
      </c>
      <c r="AP50" s="64" t="n">
        <f aca="false">$B5*AP$45+$C5*AP$46+$D5*AP$47+$E5*AP$48+$F5*AP$49</f>
        <v>0.0669575038817295</v>
      </c>
      <c r="AQ50" s="64" t="n">
        <f aca="false">$B5*AQ$45+$C5*AQ$46+$D5*AQ$47+$E5*AQ$48+$F5*AQ$49</f>
        <v>0.0675267947190303</v>
      </c>
      <c r="AR50" s="64" t="n">
        <f aca="false">$B5*AR$45+$C5*AR$46+$D5*AR$47+$E5*AR$48+$F5*AR$49</f>
        <v>0.0680477147256546</v>
      </c>
      <c r="AS50" s="64" t="n">
        <f aca="false">$B5*AS$45+$C5*AS$46+$D5*AS$47+$E5*AS$48+$F5*AS$49</f>
        <v>0.0685165578021</v>
      </c>
    </row>
    <row r="51" customFormat="false" ht="15" hidden="false" customHeight="true" outlineLevel="0" collapsed="false">
      <c r="I51" s="5" t="s">
        <v>235</v>
      </c>
      <c r="J51" s="64" t="n">
        <f aca="false">$B6*J$45+$C6*J$46+$D6*J$47+$E6*J$48+$F6*J$49</f>
        <v>0.074672417114618</v>
      </c>
      <c r="K51" s="64" t="n">
        <f aca="false">$B6*K$45+$C6*K$46+$D6*K$47+$E6*K$48+$F6*K$49</f>
        <v>0.0738504073539834</v>
      </c>
      <c r="L51" s="64" t="n">
        <f aca="false">$B6*L$45+$C6*L$46+$D6*L$47+$E6*L$48+$F6*L$49</f>
        <v>0.0730283474493624</v>
      </c>
      <c r="M51" s="64" t="n">
        <f aca="false">$B6*M$45+$C6*M$46+$D6*M$47+$E6*M$48+$F6*M$49</f>
        <v>0.0722076889095901</v>
      </c>
      <c r="N51" s="64" t="n">
        <f aca="false">$B6*N$45+$C6*N$46+$D6*N$47+$E6*N$48+$F6*N$49</f>
        <v>0.0713900422567302</v>
      </c>
      <c r="O51" s="64" t="n">
        <f aca="false">$B6*O$45+$C6*O$46+$D6*O$47+$E6*O$48+$F6*O$49</f>
        <v>0.070577217435329</v>
      </c>
      <c r="P51" s="64" t="n">
        <f aca="false">$B6*P$45+$C6*P$46+$D6*P$47+$E6*P$48+$F6*P$49</f>
        <v>0.069771275719457</v>
      </c>
      <c r="Q51" s="64" t="n">
        <f aca="false">$B6*Q$45+$C6*Q$46+$D6*Q$47+$E6*Q$48+$F6*Q$49</f>
        <v>0.0689745952097068</v>
      </c>
      <c r="R51" s="64" t="n">
        <f aca="false">$B6*R$45+$C6*R$46+$D6*R$47+$E6*R$48+$F6*R$49</f>
        <v>0.0681899518382093</v>
      </c>
      <c r="S51" s="64" t="n">
        <f aca="false">$B6*S$45+$C6*S$46+$D6*S$47+$E6*S$48+$F6*S$49</f>
        <v>0.0674206171774841</v>
      </c>
      <c r="T51" s="64" t="n">
        <f aca="false">$B6*T$45+$C6*T$46+$D6*T$47+$E6*T$48+$F6*T$49</f>
        <v>0.0666704729800515</v>
      </c>
      <c r="U51" s="64" t="n">
        <f aca="false">$B6*U$45+$C6*U$46+$D6*U$47+$E6*U$48+$F6*U$49</f>
        <v>0.0659441398464553</v>
      </c>
      <c r="V51" s="64" t="n">
        <f aca="false">$B6*V$45+$C6*V$46+$D6*V$47+$E6*V$48+$F6*V$49</f>
        <v>0.0652471132181326</v>
      </c>
      <c r="W51" s="64" t="n">
        <f aca="false">$B6*W$45+$C6*W$46+$D6*W$47+$E6*W$48+$F6*W$49</f>
        <v>0.0645858935090579</v>
      </c>
      <c r="X51" s="64" t="n">
        <f aca="false">$B6*X$45+$C6*X$46+$D6*X$47+$E6*X$48+$F6*X$49</f>
        <v>0.0639680883760655</v>
      </c>
      <c r="Y51" s="64" t="n">
        <f aca="false">$B6*Y$45+$C6*Y$46+$D6*Y$47+$E6*Y$48+$F6*Y$49</f>
        <v>0.0634024543793253</v>
      </c>
      <c r="Z51" s="64" t="n">
        <f aca="false">$B6*Z$45+$C6*Z$46+$D6*Z$47+$E6*Z$48+$F6*Z$49</f>
        <v>0.0628988345471524</v>
      </c>
      <c r="AA51" s="64" t="n">
        <f aca="false">$B6*AA$45+$C6*AA$46+$D6*AA$47+$E6*AA$48+$F6*AA$49</f>
        <v>0.0624679416484595</v>
      </c>
      <c r="AB51" s="64" t="n">
        <f aca="false">$B6*AB$45+$C6*AB$46+$D6*AB$47+$E6*AB$48+$F6*AB$49</f>
        <v>0.0621209401826656</v>
      </c>
      <c r="AC51" s="64" t="n">
        <f aca="false">$B6*AC$45+$C6*AC$46+$D6*AC$47+$E6*AC$48+$F6*AC$49</f>
        <v>0.0618687990202628</v>
      </c>
      <c r="AD51" s="64" t="n">
        <f aca="false">$B6*AD$45+$C6*AD$46+$D6*AD$47+$E6*AD$48+$F6*AD$49</f>
        <v>0.0617214231521614</v>
      </c>
      <c r="AE51" s="64" t="n">
        <f aca="false">$B6*AE$45+$C6*AE$46+$D6*AE$47+$E6*AE$48+$F6*AE$49</f>
        <v>0.0616866217378462</v>
      </c>
      <c r="AF51" s="64" t="n">
        <f aca="false">$B6*AF$45+$C6*AF$46+$D6*AF$47+$E6*AF$48+$F6*AF$49</f>
        <v>0.0617690191061722</v>
      </c>
      <c r="AG51" s="64" t="n">
        <f aca="false">$B6*AG$45+$C6*AG$46+$D6*AG$47+$E6*AG$48+$F6*AG$49</f>
        <v>0.0619690545798268</v>
      </c>
      <c r="AH51" s="64" t="n">
        <f aca="false">$B6*AH$45+$C6*AH$46+$D6*AH$47+$E6*AH$48+$F6*AH$49</f>
        <v>0.0622822403500403</v>
      </c>
      <c r="AI51" s="64" t="n">
        <f aca="false">$B6*AI$45+$C6*AI$46+$D6*AI$47+$E6*AI$48+$F6*AI$49</f>
        <v>0.0626988489619953</v>
      </c>
      <c r="AJ51" s="64" t="n">
        <f aca="false">$B6*AJ$45+$C6*AJ$46+$D6*AJ$47+$E6*AJ$48+$F6*AJ$49</f>
        <v>0.0632041699504232</v>
      </c>
      <c r="AK51" s="64" t="n">
        <f aca="false">$B6*AK$45+$C6*AK$46+$D6*AK$47+$E6*AK$48+$F6*AK$49</f>
        <v>0.0637793926659979</v>
      </c>
      <c r="AL51" s="64" t="n">
        <f aca="false">$B6*AL$45+$C6*AL$46+$D6*AL$47+$E6*AL$48+$F6*AL$49</f>
        <v>0.0644030426356731</v>
      </c>
      <c r="AM51" s="64" t="n">
        <f aca="false">$B6*AM$45+$C6*AM$46+$D6*AM$47+$E6*AM$48+$F6*AM$49</f>
        <v>0.0650527596648829</v>
      </c>
      <c r="AN51" s="64" t="n">
        <f aca="false">$B6*AN$45+$C6*AN$46+$D6*AN$47+$E6*AN$48+$F6*AN$49</f>
        <v>0.0657071148168149</v>
      </c>
      <c r="AO51" s="64" t="n">
        <f aca="false">$B6*AO$45+$C6*AO$46+$D6*AO$47+$E6*AO$48+$F6*AO$49</f>
        <v>0.066347161693678</v>
      </c>
      <c r="AP51" s="64" t="n">
        <f aca="false">$B6*AP$45+$C6*AP$46+$D6*AP$47+$E6*AP$48+$F6*AP$49</f>
        <v>0.0669575038817295</v>
      </c>
      <c r="AQ51" s="64" t="n">
        <f aca="false">$B6*AQ$45+$C6*AQ$46+$D6*AQ$47+$E6*AQ$48+$F6*AQ$49</f>
        <v>0.0675267947190303</v>
      </c>
      <c r="AR51" s="64" t="n">
        <f aca="false">$B6*AR$45+$C6*AR$46+$D6*AR$47+$E6*AR$48+$F6*AR$49</f>
        <v>0.0680477147256546</v>
      </c>
      <c r="AS51" s="64" t="n">
        <f aca="false">$B6*AS$45+$C6*AS$46+$D6*AS$47+$E6*AS$48+$F6*AS$49</f>
        <v>0.0685165578021</v>
      </c>
    </row>
    <row r="52" customFormat="false" ht="15" hidden="false" customHeight="true" outlineLevel="0" collapsed="false">
      <c r="I52" s="5" t="s">
        <v>236</v>
      </c>
      <c r="J52" s="64" t="n">
        <f aca="false">$B7*J$45+$C7*J$46+$D7*J$47+$E7*J$48+$F7*J$49</f>
        <v>0.074672417114618</v>
      </c>
      <c r="K52" s="64" t="n">
        <f aca="false">$B7*K$45+$C7*K$46+$D7*K$47+$E7*K$48+$F7*K$49</f>
        <v>0.0738504073539834</v>
      </c>
      <c r="L52" s="64" t="n">
        <f aca="false">$B7*L$45+$C7*L$46+$D7*L$47+$E7*L$48+$F7*L$49</f>
        <v>0.0730283474493624</v>
      </c>
      <c r="M52" s="64" t="n">
        <f aca="false">$B7*M$45+$C7*M$46+$D7*M$47+$E7*M$48+$F7*M$49</f>
        <v>0.0722076889095901</v>
      </c>
      <c r="N52" s="64" t="n">
        <f aca="false">$B7*N$45+$C7*N$46+$D7*N$47+$E7*N$48+$F7*N$49</f>
        <v>0.0713900422567302</v>
      </c>
      <c r="O52" s="64" t="n">
        <f aca="false">$B7*O$45+$C7*O$46+$D7*O$47+$E7*O$48+$F7*O$49</f>
        <v>0.070577217435329</v>
      </c>
      <c r="P52" s="64" t="n">
        <f aca="false">$B7*P$45+$C7*P$46+$D7*P$47+$E7*P$48+$F7*P$49</f>
        <v>0.069771275719457</v>
      </c>
      <c r="Q52" s="64" t="n">
        <f aca="false">$B7*Q$45+$C7*Q$46+$D7*Q$47+$E7*Q$48+$F7*Q$49</f>
        <v>0.0689745952097068</v>
      </c>
      <c r="R52" s="64" t="n">
        <f aca="false">$B7*R$45+$C7*R$46+$D7*R$47+$E7*R$48+$F7*R$49</f>
        <v>0.0681899518382093</v>
      </c>
      <c r="S52" s="64" t="n">
        <f aca="false">$B7*S$45+$C7*S$46+$D7*S$47+$E7*S$48+$F7*S$49</f>
        <v>0.0674206171774841</v>
      </c>
      <c r="T52" s="64" t="n">
        <f aca="false">$B7*T$45+$C7*T$46+$D7*T$47+$E7*T$48+$F7*T$49</f>
        <v>0.0666704729800515</v>
      </c>
      <c r="U52" s="64" t="n">
        <f aca="false">$B7*U$45+$C7*U$46+$D7*U$47+$E7*U$48+$F7*U$49</f>
        <v>0.0659441398464553</v>
      </c>
      <c r="V52" s="64" t="n">
        <f aca="false">$B7*V$45+$C7*V$46+$D7*V$47+$E7*V$48+$F7*V$49</f>
        <v>0.0652471132181326</v>
      </c>
      <c r="W52" s="64" t="n">
        <f aca="false">$B7*W$45+$C7*W$46+$D7*W$47+$E7*W$48+$F7*W$49</f>
        <v>0.0645858935090579</v>
      </c>
      <c r="X52" s="64" t="n">
        <f aca="false">$B7*X$45+$C7*X$46+$D7*X$47+$E7*X$48+$F7*X$49</f>
        <v>0.0639680883760655</v>
      </c>
      <c r="Y52" s="64" t="n">
        <f aca="false">$B7*Y$45+$C7*Y$46+$D7*Y$47+$E7*Y$48+$F7*Y$49</f>
        <v>0.0634024543793253</v>
      </c>
      <c r="Z52" s="64" t="n">
        <f aca="false">$B7*Z$45+$C7*Z$46+$D7*Z$47+$E7*Z$48+$F7*Z$49</f>
        <v>0.0628988345471524</v>
      </c>
      <c r="AA52" s="64" t="n">
        <f aca="false">$B7*AA$45+$C7*AA$46+$D7*AA$47+$E7*AA$48+$F7*AA$49</f>
        <v>0.0624679416484595</v>
      </c>
      <c r="AB52" s="64" t="n">
        <f aca="false">$B7*AB$45+$C7*AB$46+$D7*AB$47+$E7*AB$48+$F7*AB$49</f>
        <v>0.0621209401826656</v>
      </c>
      <c r="AC52" s="64" t="n">
        <f aca="false">$B7*AC$45+$C7*AC$46+$D7*AC$47+$E7*AC$48+$F7*AC$49</f>
        <v>0.0618687990202628</v>
      </c>
      <c r="AD52" s="64" t="n">
        <f aca="false">$B7*AD$45+$C7*AD$46+$D7*AD$47+$E7*AD$48+$F7*AD$49</f>
        <v>0.0617214231521614</v>
      </c>
      <c r="AE52" s="64" t="n">
        <f aca="false">$B7*AE$45+$C7*AE$46+$D7*AE$47+$E7*AE$48+$F7*AE$49</f>
        <v>0.0616866217378462</v>
      </c>
      <c r="AF52" s="64" t="n">
        <f aca="false">$B7*AF$45+$C7*AF$46+$D7*AF$47+$E7*AF$48+$F7*AF$49</f>
        <v>0.0617690191061722</v>
      </c>
      <c r="AG52" s="64" t="n">
        <f aca="false">$B7*AG$45+$C7*AG$46+$D7*AG$47+$E7*AG$48+$F7*AG$49</f>
        <v>0.0619690545798268</v>
      </c>
      <c r="AH52" s="64" t="n">
        <f aca="false">$B7*AH$45+$C7*AH$46+$D7*AH$47+$E7*AH$48+$F7*AH$49</f>
        <v>0.0622822403500403</v>
      </c>
      <c r="AI52" s="64" t="n">
        <f aca="false">$B7*AI$45+$C7*AI$46+$D7*AI$47+$E7*AI$48+$F7*AI$49</f>
        <v>0.0626988489619953</v>
      </c>
      <c r="AJ52" s="64" t="n">
        <f aca="false">$B7*AJ$45+$C7*AJ$46+$D7*AJ$47+$E7*AJ$48+$F7*AJ$49</f>
        <v>0.0632041699504232</v>
      </c>
      <c r="AK52" s="64" t="n">
        <f aca="false">$B7*AK$45+$C7*AK$46+$D7*AK$47+$E7*AK$48+$F7*AK$49</f>
        <v>0.0637793926659979</v>
      </c>
      <c r="AL52" s="64" t="n">
        <f aca="false">$B7*AL$45+$C7*AL$46+$D7*AL$47+$E7*AL$48+$F7*AL$49</f>
        <v>0.0644030426356731</v>
      </c>
      <c r="AM52" s="64" t="n">
        <f aca="false">$B7*AM$45+$C7*AM$46+$D7*AM$47+$E7*AM$48+$F7*AM$49</f>
        <v>0.0650527596648829</v>
      </c>
      <c r="AN52" s="64" t="n">
        <f aca="false">$B7*AN$45+$C7*AN$46+$D7*AN$47+$E7*AN$48+$F7*AN$49</f>
        <v>0.0657071148168149</v>
      </c>
      <c r="AO52" s="64" t="n">
        <f aca="false">$B7*AO$45+$C7*AO$46+$D7*AO$47+$E7*AO$48+$F7*AO$49</f>
        <v>0.066347161693678</v>
      </c>
      <c r="AP52" s="64" t="n">
        <f aca="false">$B7*AP$45+$C7*AP$46+$D7*AP$47+$E7*AP$48+$F7*AP$49</f>
        <v>0.0669575038817295</v>
      </c>
      <c r="AQ52" s="64" t="n">
        <f aca="false">$B7*AQ$45+$C7*AQ$46+$D7*AQ$47+$E7*AQ$48+$F7*AQ$49</f>
        <v>0.0675267947190303</v>
      </c>
      <c r="AR52" s="64" t="n">
        <f aca="false">$B7*AR$45+$C7*AR$46+$D7*AR$47+$E7*AR$48+$F7*AR$49</f>
        <v>0.0680477147256546</v>
      </c>
      <c r="AS52" s="64" t="n">
        <f aca="false">$B7*AS$45+$C7*AS$46+$D7*AS$47+$E7*AS$48+$F7*AS$49</f>
        <v>0.0685165578021</v>
      </c>
    </row>
    <row r="53" customFormat="false" ht="15" hidden="false" customHeight="true" outlineLevel="0" collapsed="false">
      <c r="I53" s="5" t="s">
        <v>237</v>
      </c>
      <c r="J53" s="64" t="n">
        <f aca="false">$B8*J$45+$C8*J$46+$D8*J$47+$E8*J$48+$F8*J$49</f>
        <v>0.074672417114618</v>
      </c>
      <c r="K53" s="64" t="n">
        <f aca="false">$B8*K$45+$C8*K$46+$D8*K$47+$E8*K$48+$F8*K$49</f>
        <v>0.0738504073539834</v>
      </c>
      <c r="L53" s="64" t="n">
        <f aca="false">$B8*L$45+$C8*L$46+$D8*L$47+$E8*L$48+$F8*L$49</f>
        <v>0.0730283474493624</v>
      </c>
      <c r="M53" s="64" t="n">
        <f aca="false">$B8*M$45+$C8*M$46+$D8*M$47+$E8*M$48+$F8*M$49</f>
        <v>0.0722076889095901</v>
      </c>
      <c r="N53" s="64" t="n">
        <f aca="false">$B8*N$45+$C8*N$46+$D8*N$47+$E8*N$48+$F8*N$49</f>
        <v>0.0713900422567302</v>
      </c>
      <c r="O53" s="64" t="n">
        <f aca="false">$B8*O$45+$C8*O$46+$D8*O$47+$E8*O$48+$F8*O$49</f>
        <v>0.070577217435329</v>
      </c>
      <c r="P53" s="64" t="n">
        <f aca="false">$B8*P$45+$C8*P$46+$D8*P$47+$E8*P$48+$F8*P$49</f>
        <v>0.069771275719457</v>
      </c>
      <c r="Q53" s="64" t="n">
        <f aca="false">$B8*Q$45+$C8*Q$46+$D8*Q$47+$E8*Q$48+$F8*Q$49</f>
        <v>0.0689745952097068</v>
      </c>
      <c r="R53" s="64" t="n">
        <f aca="false">$B8*R$45+$C8*R$46+$D8*R$47+$E8*R$48+$F8*R$49</f>
        <v>0.0681899518382093</v>
      </c>
      <c r="S53" s="64" t="n">
        <f aca="false">$B8*S$45+$C8*S$46+$D8*S$47+$E8*S$48+$F8*S$49</f>
        <v>0.0674206171774841</v>
      </c>
      <c r="T53" s="64" t="n">
        <f aca="false">$B8*T$45+$C8*T$46+$D8*T$47+$E8*T$48+$F8*T$49</f>
        <v>0.0666704729800515</v>
      </c>
      <c r="U53" s="64" t="n">
        <f aca="false">$B8*U$45+$C8*U$46+$D8*U$47+$E8*U$48+$F8*U$49</f>
        <v>0.0659441398464553</v>
      </c>
      <c r="V53" s="64" t="n">
        <f aca="false">$B8*V$45+$C8*V$46+$D8*V$47+$E8*V$48+$F8*V$49</f>
        <v>0.0652471132181326</v>
      </c>
      <c r="W53" s="64" t="n">
        <f aca="false">$B8*W$45+$C8*W$46+$D8*W$47+$E8*W$48+$F8*W$49</f>
        <v>0.0645858935090579</v>
      </c>
      <c r="X53" s="64" t="n">
        <f aca="false">$B8*X$45+$C8*X$46+$D8*X$47+$E8*X$48+$F8*X$49</f>
        <v>0.0639680883760655</v>
      </c>
      <c r="Y53" s="64" t="n">
        <f aca="false">$B8*Y$45+$C8*Y$46+$D8*Y$47+$E8*Y$48+$F8*Y$49</f>
        <v>0.0634024543793253</v>
      </c>
      <c r="Z53" s="64" t="n">
        <f aca="false">$B8*Z$45+$C8*Z$46+$D8*Z$47+$E8*Z$48+$F8*Z$49</f>
        <v>0.0628988345471524</v>
      </c>
      <c r="AA53" s="64" t="n">
        <f aca="false">$B8*AA$45+$C8*AA$46+$D8*AA$47+$E8*AA$48+$F8*AA$49</f>
        <v>0.0624679416484595</v>
      </c>
      <c r="AB53" s="64" t="n">
        <f aca="false">$B8*AB$45+$C8*AB$46+$D8*AB$47+$E8*AB$48+$F8*AB$49</f>
        <v>0.0621209401826656</v>
      </c>
      <c r="AC53" s="64" t="n">
        <f aca="false">$B8*AC$45+$C8*AC$46+$D8*AC$47+$E8*AC$48+$F8*AC$49</f>
        <v>0.0618687990202628</v>
      </c>
      <c r="AD53" s="64" t="n">
        <f aca="false">$B8*AD$45+$C8*AD$46+$D8*AD$47+$E8*AD$48+$F8*AD$49</f>
        <v>0.0617214231521614</v>
      </c>
      <c r="AE53" s="64" t="n">
        <f aca="false">$B8*AE$45+$C8*AE$46+$D8*AE$47+$E8*AE$48+$F8*AE$49</f>
        <v>0.0616866217378462</v>
      </c>
      <c r="AF53" s="64" t="n">
        <f aca="false">$B8*AF$45+$C8*AF$46+$D8*AF$47+$E8*AF$48+$F8*AF$49</f>
        <v>0.0617690191061722</v>
      </c>
      <c r="AG53" s="64" t="n">
        <f aca="false">$B8*AG$45+$C8*AG$46+$D8*AG$47+$E8*AG$48+$F8*AG$49</f>
        <v>0.0619690545798268</v>
      </c>
      <c r="AH53" s="64" t="n">
        <f aca="false">$B8*AH$45+$C8*AH$46+$D8*AH$47+$E8*AH$48+$F8*AH$49</f>
        <v>0.0622822403500403</v>
      </c>
      <c r="AI53" s="64" t="n">
        <f aca="false">$B8*AI$45+$C8*AI$46+$D8*AI$47+$E8*AI$48+$F8*AI$49</f>
        <v>0.0626988489619953</v>
      </c>
      <c r="AJ53" s="64" t="n">
        <f aca="false">$B8*AJ$45+$C8*AJ$46+$D8*AJ$47+$E8*AJ$48+$F8*AJ$49</f>
        <v>0.0632041699504232</v>
      </c>
      <c r="AK53" s="64" t="n">
        <f aca="false">$B8*AK$45+$C8*AK$46+$D8*AK$47+$E8*AK$48+$F8*AK$49</f>
        <v>0.0637793926659979</v>
      </c>
      <c r="AL53" s="64" t="n">
        <f aca="false">$B8*AL$45+$C8*AL$46+$D8*AL$47+$E8*AL$48+$F8*AL$49</f>
        <v>0.0644030426356731</v>
      </c>
      <c r="AM53" s="64" t="n">
        <f aca="false">$B8*AM$45+$C8*AM$46+$D8*AM$47+$E8*AM$48+$F8*AM$49</f>
        <v>0.0650527596648829</v>
      </c>
      <c r="AN53" s="64" t="n">
        <f aca="false">$B8*AN$45+$C8*AN$46+$D8*AN$47+$E8*AN$48+$F8*AN$49</f>
        <v>0.0657071148168149</v>
      </c>
      <c r="AO53" s="64" t="n">
        <f aca="false">$B8*AO$45+$C8*AO$46+$D8*AO$47+$E8*AO$48+$F8*AO$49</f>
        <v>0.066347161693678</v>
      </c>
      <c r="AP53" s="64" t="n">
        <f aca="false">$B8*AP$45+$C8*AP$46+$D8*AP$47+$E8*AP$48+$F8*AP$49</f>
        <v>0.0669575038817295</v>
      </c>
      <c r="AQ53" s="64" t="n">
        <f aca="false">$B8*AQ$45+$C8*AQ$46+$D8*AQ$47+$E8*AQ$48+$F8*AQ$49</f>
        <v>0.0675267947190303</v>
      </c>
      <c r="AR53" s="64" t="n">
        <f aca="false">$B8*AR$45+$C8*AR$46+$D8*AR$47+$E8*AR$48+$F8*AR$49</f>
        <v>0.0680477147256546</v>
      </c>
      <c r="AS53" s="64" t="n">
        <f aca="false">$B8*AS$45+$C8*AS$46+$D8*AS$47+$E8*AS$48+$F8*AS$49</f>
        <v>0.0685165578021</v>
      </c>
    </row>
    <row r="54" customFormat="false" ht="15" hidden="false" customHeight="true" outlineLevel="0" collapsed="false">
      <c r="I54" s="5" t="s">
        <v>238</v>
      </c>
      <c r="J54" s="64" t="n">
        <f aca="false">$B9*J$45+$C9*J$46+$D9*J$47+$E9*J$48+$F9*J$49</f>
        <v>0.074672417114618</v>
      </c>
      <c r="K54" s="64" t="n">
        <f aca="false">$B9*K$45+$C9*K$46+$D9*K$47+$E9*K$48+$F9*K$49</f>
        <v>0.0738504073539834</v>
      </c>
      <c r="L54" s="64" t="n">
        <f aca="false">$B9*L$45+$C9*L$46+$D9*L$47+$E9*L$48+$F9*L$49</f>
        <v>0.0730283474493624</v>
      </c>
      <c r="M54" s="64" t="n">
        <f aca="false">$B9*M$45+$C9*M$46+$D9*M$47+$E9*M$48+$F9*M$49</f>
        <v>0.0722076889095901</v>
      </c>
      <c r="N54" s="64" t="n">
        <f aca="false">$B9*N$45+$C9*N$46+$D9*N$47+$E9*N$48+$F9*N$49</f>
        <v>0.0713900422567302</v>
      </c>
      <c r="O54" s="64" t="n">
        <f aca="false">$B9*O$45+$C9*O$46+$D9*O$47+$E9*O$48+$F9*O$49</f>
        <v>0.070577217435329</v>
      </c>
      <c r="P54" s="64" t="n">
        <f aca="false">$B9*P$45+$C9*P$46+$D9*P$47+$E9*P$48+$F9*P$49</f>
        <v>0.069771275719457</v>
      </c>
      <c r="Q54" s="64" t="n">
        <f aca="false">$B9*Q$45+$C9*Q$46+$D9*Q$47+$E9*Q$48+$F9*Q$49</f>
        <v>0.0689745952097068</v>
      </c>
      <c r="R54" s="64" t="n">
        <f aca="false">$B9*R$45+$C9*R$46+$D9*R$47+$E9*R$48+$F9*R$49</f>
        <v>0.0681899518382093</v>
      </c>
      <c r="S54" s="64" t="n">
        <f aca="false">$B9*S$45+$C9*S$46+$D9*S$47+$E9*S$48+$F9*S$49</f>
        <v>0.0674206171774841</v>
      </c>
      <c r="T54" s="64" t="n">
        <f aca="false">$B9*T$45+$C9*T$46+$D9*T$47+$E9*T$48+$F9*T$49</f>
        <v>0.0666704729800515</v>
      </c>
      <c r="U54" s="64" t="n">
        <f aca="false">$B9*U$45+$C9*U$46+$D9*U$47+$E9*U$48+$F9*U$49</f>
        <v>0.0659441398464553</v>
      </c>
      <c r="V54" s="64" t="n">
        <f aca="false">$B9*V$45+$C9*V$46+$D9*V$47+$E9*V$48+$F9*V$49</f>
        <v>0.0652471132181326</v>
      </c>
      <c r="W54" s="64" t="n">
        <f aca="false">$B9*W$45+$C9*W$46+$D9*W$47+$E9*W$48+$F9*W$49</f>
        <v>0.0645858935090579</v>
      </c>
      <c r="X54" s="64" t="n">
        <f aca="false">$B9*X$45+$C9*X$46+$D9*X$47+$E9*X$48+$F9*X$49</f>
        <v>0.0639680883760655</v>
      </c>
      <c r="Y54" s="64" t="n">
        <f aca="false">$B9*Y$45+$C9*Y$46+$D9*Y$47+$E9*Y$48+$F9*Y$49</f>
        <v>0.0634024543793253</v>
      </c>
      <c r="Z54" s="64" t="n">
        <f aca="false">$B9*Z$45+$C9*Z$46+$D9*Z$47+$E9*Z$48+$F9*Z$49</f>
        <v>0.0628988345471524</v>
      </c>
      <c r="AA54" s="64" t="n">
        <f aca="false">$B9*AA$45+$C9*AA$46+$D9*AA$47+$E9*AA$48+$F9*AA$49</f>
        <v>0.0624679416484595</v>
      </c>
      <c r="AB54" s="64" t="n">
        <f aca="false">$B9*AB$45+$C9*AB$46+$D9*AB$47+$E9*AB$48+$F9*AB$49</f>
        <v>0.0621209401826656</v>
      </c>
      <c r="AC54" s="64" t="n">
        <f aca="false">$B9*AC$45+$C9*AC$46+$D9*AC$47+$E9*AC$48+$F9*AC$49</f>
        <v>0.0618687990202628</v>
      </c>
      <c r="AD54" s="64" t="n">
        <f aca="false">$B9*AD$45+$C9*AD$46+$D9*AD$47+$E9*AD$48+$F9*AD$49</f>
        <v>0.0617214231521614</v>
      </c>
      <c r="AE54" s="64" t="n">
        <f aca="false">$B9*AE$45+$C9*AE$46+$D9*AE$47+$E9*AE$48+$F9*AE$49</f>
        <v>0.0616866217378462</v>
      </c>
      <c r="AF54" s="64" t="n">
        <f aca="false">$B9*AF$45+$C9*AF$46+$D9*AF$47+$E9*AF$48+$F9*AF$49</f>
        <v>0.0617690191061722</v>
      </c>
      <c r="AG54" s="64" t="n">
        <f aca="false">$B9*AG$45+$C9*AG$46+$D9*AG$47+$E9*AG$48+$F9*AG$49</f>
        <v>0.0619690545798268</v>
      </c>
      <c r="AH54" s="64" t="n">
        <f aca="false">$B9*AH$45+$C9*AH$46+$D9*AH$47+$E9*AH$48+$F9*AH$49</f>
        <v>0.0622822403500403</v>
      </c>
      <c r="AI54" s="64" t="n">
        <f aca="false">$B9*AI$45+$C9*AI$46+$D9*AI$47+$E9*AI$48+$F9*AI$49</f>
        <v>0.0626988489619953</v>
      </c>
      <c r="AJ54" s="64" t="n">
        <f aca="false">$B9*AJ$45+$C9*AJ$46+$D9*AJ$47+$E9*AJ$48+$F9*AJ$49</f>
        <v>0.0632041699504232</v>
      </c>
      <c r="AK54" s="64" t="n">
        <f aca="false">$B9*AK$45+$C9*AK$46+$D9*AK$47+$E9*AK$48+$F9*AK$49</f>
        <v>0.0637793926659979</v>
      </c>
      <c r="AL54" s="64" t="n">
        <f aca="false">$B9*AL$45+$C9*AL$46+$D9*AL$47+$E9*AL$48+$F9*AL$49</f>
        <v>0.0644030426356731</v>
      </c>
      <c r="AM54" s="64" t="n">
        <f aca="false">$B9*AM$45+$C9*AM$46+$D9*AM$47+$E9*AM$48+$F9*AM$49</f>
        <v>0.0650527596648829</v>
      </c>
      <c r="AN54" s="64" t="n">
        <f aca="false">$B9*AN$45+$C9*AN$46+$D9*AN$47+$E9*AN$48+$F9*AN$49</f>
        <v>0.0657071148168149</v>
      </c>
      <c r="AO54" s="64" t="n">
        <f aca="false">$B9*AO$45+$C9*AO$46+$D9*AO$47+$E9*AO$48+$F9*AO$49</f>
        <v>0.066347161693678</v>
      </c>
      <c r="AP54" s="64" t="n">
        <f aca="false">$B9*AP$45+$C9*AP$46+$D9*AP$47+$E9*AP$48+$F9*AP$49</f>
        <v>0.0669575038817295</v>
      </c>
      <c r="AQ54" s="64" t="n">
        <f aca="false">$B9*AQ$45+$C9*AQ$46+$D9*AQ$47+$E9*AQ$48+$F9*AQ$49</f>
        <v>0.0675267947190303</v>
      </c>
      <c r="AR54" s="64" t="n">
        <f aca="false">$B9*AR$45+$C9*AR$46+$D9*AR$47+$E9*AR$48+$F9*AR$49</f>
        <v>0.0680477147256546</v>
      </c>
      <c r="AS54" s="64" t="n">
        <f aca="false">$B9*AS$45+$C9*AS$46+$D9*AS$47+$E9*AS$48+$F9*AS$49</f>
        <v>0.0685165578021</v>
      </c>
    </row>
    <row r="55" customFormat="false" ht="15" hidden="false" customHeight="true" outlineLevel="0" collapsed="false">
      <c r="I55" s="5" t="s">
        <v>239</v>
      </c>
      <c r="J55" s="64" t="n">
        <f aca="false">$B10*J$45+$C10*J$46+$D10*J$47+$E10*J$48+$F10*J$49</f>
        <v>0.0692330801411735</v>
      </c>
      <c r="K55" s="64" t="n">
        <f aca="false">$B10*K$45+$C10*K$46+$D10*K$47+$E10*K$48+$F10*K$49</f>
        <v>0.0685226198244188</v>
      </c>
      <c r="L55" s="64" t="n">
        <f aca="false">$B10*L$45+$C10*L$46+$D10*L$47+$E10*L$48+$F10*L$49</f>
        <v>0.0678124978744874</v>
      </c>
      <c r="M55" s="64" t="n">
        <f aca="false">$B10*M$45+$C10*M$46+$D10*M$47+$E10*M$48+$F10*M$49</f>
        <v>0.0671039819102292</v>
      </c>
      <c r="N55" s="64" t="n">
        <f aca="false">$B10*N$45+$C10*N$46+$D10*N$47+$E10*N$48+$F10*N$49</f>
        <v>0.0663984734577139</v>
      </c>
      <c r="O55" s="64" t="n">
        <f aca="false">$B10*O$45+$C10*O$46+$D10*O$47+$E10*O$48+$F10*O$49</f>
        <v>0.0656975413387995</v>
      </c>
      <c r="P55" s="64" t="n">
        <f aca="false">$B10*P$45+$C10*P$46+$D10*P$47+$E10*P$48+$F10*P$49</f>
        <v>0.0650029644191802</v>
      </c>
      <c r="Q55" s="64" t="n">
        <f aca="false">$B10*Q$45+$C10*Q$46+$D10*Q$47+$E10*Q$48+$F10*Q$49</f>
        <v>0.0643167853477669</v>
      </c>
      <c r="R55" s="64" t="n">
        <f aca="false">$B10*R$45+$C10*R$46+$D10*R$47+$E10*R$48+$F10*R$49</f>
        <v>0.0636413767539967</v>
      </c>
      <c r="S55" s="64" t="n">
        <f aca="false">$B10*S$45+$C10*S$46+$D10*S$47+$E10*S$48+$F10*S$49</f>
        <v>0.0629795208533366</v>
      </c>
      <c r="T55" s="64" t="n">
        <f aca="false">$B10*T$45+$C10*T$46+$D10*T$47+$E10*T$48+$F10*T$49</f>
        <v>0.0623345023246664</v>
      </c>
      <c r="U55" s="64" t="n">
        <f aca="false">$B10*U$45+$C10*U$46+$D10*U$47+$E10*U$48+$F10*U$49</f>
        <v>0.0617102123693661</v>
      </c>
      <c r="V55" s="64" t="n">
        <f aca="false">$B10*V$45+$C10*V$46+$D10*V$47+$E10*V$48+$F10*V$49</f>
        <v>0.0611112586803716</v>
      </c>
      <c r="W55" s="64" t="n">
        <f aca="false">$B10*W$45+$C10*W$46+$D10*W$47+$E10*W$48+$F10*W$49</f>
        <v>0.0605430712840707</v>
      </c>
      <c r="X55" s="64" t="n">
        <f aca="false">$B10*X$45+$C10*X$46+$D10*X$47+$E10*X$48+$F10*X$49</f>
        <v>0.0600119876810291</v>
      </c>
      <c r="Y55" s="64" t="n">
        <f aca="false">$B10*Y$45+$C10*Y$46+$D10*Y$47+$E10*Y$48+$F10*Y$49</f>
        <v>0.0595252926853877</v>
      </c>
      <c r="Z55" s="64" t="n">
        <f aca="false">$B10*Z$45+$C10*Z$46+$D10*Z$47+$E10*Z$48+$F10*Z$49</f>
        <v>0.0590911800258756</v>
      </c>
      <c r="AA55" s="64" t="n">
        <f aca="false">$B10*AA$45+$C10*AA$46+$D10*AA$47+$E10*AA$48+$F10*AA$49</f>
        <v>0.0587185965940476</v>
      </c>
      <c r="AB55" s="64" t="n">
        <f aca="false">$B10*AB$45+$C10*AB$46+$D10*AB$47+$E10*AB$48+$F10*AB$49</f>
        <v>0.0584169299627093</v>
      </c>
      <c r="AC55" s="64" t="n">
        <f aca="false">$B10*AC$45+$C10*AC$46+$D10*AC$47+$E10*AC$48+$F10*AC$49</f>
        <v>0.0581955096188115</v>
      </c>
      <c r="AD55" s="64" t="n">
        <f aca="false">$B10*AD$45+$C10*AD$46+$D10*AD$47+$E10*AD$48+$F10*AD$49</f>
        <v>0.0580629150626762</v>
      </c>
      <c r="AE55" s="64" t="n">
        <f aca="false">$B10*AE$45+$C10*AE$46+$D10*AE$47+$E10*AE$48+$F10*AE$49</f>
        <v>0.0580261192036673</v>
      </c>
      <c r="AF55" s="64" t="n">
        <f aca="false">$B10*AF$45+$C10*AF$46+$D10*AF$47+$E10*AF$48+$F10*AF$49</f>
        <v>0.0580895395987988</v>
      </c>
      <c r="AG55" s="64" t="n">
        <f aca="false">$B10*AG$45+$C10*AG$46+$D10*AG$47+$E10*AG$48+$F10*AG$49</f>
        <v>0.0582541168021599</v>
      </c>
      <c r="AH55" s="64" t="n">
        <f aca="false">$B10*AH$45+$C10*AH$46+$D10*AH$47+$E10*AH$48+$F10*AH$49</f>
        <v>0.0585165790375695</v>
      </c>
      <c r="AI55" s="64" t="n">
        <f aca="false">$B10*AI$45+$C10*AI$46+$D10*AI$47+$E10*AI$48+$F10*AI$49</f>
        <v>0.0588690699651988</v>
      </c>
      <c r="AJ55" s="64" t="n">
        <f aca="false">$B10*AJ$45+$C10*AJ$46+$D10*AJ$47+$E10*AJ$48+$F10*AJ$49</f>
        <v>0.0592992904925718</v>
      </c>
      <c r="AK55" s="64" t="n">
        <f aca="false">$B10*AK$45+$C10*AK$46+$D10*AK$47+$E10*AK$48+$F10*AK$49</f>
        <v>0.0597912223870783</v>
      </c>
      <c r="AL55" s="64" t="n">
        <f aca="false">$B10*AL$45+$C10*AL$46+$D10*AL$47+$E10*AL$48+$F10*AL$49</f>
        <v>0.0603263722179093</v>
      </c>
      <c r="AM55" s="64" t="n">
        <f aca="false">$B10*AM$45+$C10*AM$46+$D10*AM$47+$E10*AM$48+$F10*AM$49</f>
        <v>0.0608853409329714</v>
      </c>
      <c r="AN55" s="64" t="n">
        <f aca="false">$B10*AN$45+$C10*AN$46+$D10*AN$47+$E10*AN$48+$F10*AN$49</f>
        <v>0.0614494410008757</v>
      </c>
      <c r="AO55" s="64" t="n">
        <f aca="false">$B10*AO$45+$C10*AO$46+$D10*AO$47+$E10*AO$48+$F10*AO$49</f>
        <v>0.0620020837990055</v>
      </c>
      <c r="AP55" s="64" t="n">
        <f aca="false">$B10*AP$45+$C10*AP$46+$D10*AP$47+$E10*AP$48+$F10*AP$49</f>
        <v>0.0625297400267074</v>
      </c>
      <c r="AQ55" s="64" t="n">
        <f aca="false">$B10*AQ$45+$C10*AQ$46+$D10*AQ$47+$E10*AQ$48+$F10*AQ$49</f>
        <v>0.0630223973868469</v>
      </c>
      <c r="AR55" s="64" t="n">
        <f aca="false">$B10*AR$45+$C10*AR$46+$D10*AR$47+$E10*AR$48+$F10*AR$49</f>
        <v>0.0634735552437981</v>
      </c>
      <c r="AS55" s="64" t="n">
        <f aca="false">$B10*AS$45+$C10*AS$46+$D10*AS$47+$E10*AS$48+$F10*AS$49</f>
        <v>0.0638798720606386</v>
      </c>
    </row>
    <row r="56" customFormat="false" ht="15" hidden="false" customHeight="true" outlineLevel="0" collapsed="false">
      <c r="I56" s="5" t="s">
        <v>240</v>
      </c>
      <c r="J56" s="64" t="n">
        <f aca="false">$B11*J$45+$C11*J$46+$D11*J$47+$E11*J$48+$F11*J$49</f>
        <v>0.0348654949452785</v>
      </c>
      <c r="K56" s="64" t="n">
        <f aca="false">$B11*K$45+$C11*K$46+$D11*K$47+$E11*K$48+$F11*K$49</f>
        <v>0.0347699423701346</v>
      </c>
      <c r="L56" s="64" t="n">
        <f aca="false">$B11*L$45+$C11*L$46+$D11*L$47+$E11*L$48+$F11*L$49</f>
        <v>0.0346758028260864</v>
      </c>
      <c r="M56" s="64" t="n">
        <f aca="false">$B11*M$45+$C11*M$46+$D11*M$47+$E11*M$48+$F11*M$49</f>
        <v>0.0345832910739926</v>
      </c>
      <c r="N56" s="64" t="n">
        <f aca="false">$B11*N$45+$C11*N$46+$D11*N$47+$E11*N$48+$F11*N$49</f>
        <v>0.0344926287830103</v>
      </c>
      <c r="O56" s="64" t="n">
        <f aca="false">$B11*O$45+$C11*O$46+$D11*O$47+$E11*O$48+$F11*O$49</f>
        <v>0.0344040441773284</v>
      </c>
      <c r="P56" s="64" t="n">
        <f aca="false">$B11*P$45+$C11*P$46+$D11*P$47+$E11*P$48+$F11*P$49</f>
        <v>0.034317771086303</v>
      </c>
      <c r="Q56" s="64" t="n">
        <f aca="false">$B11*Q$45+$C11*Q$46+$D11*Q$47+$E11*Q$48+$F11*Q$49</f>
        <v>0.0342340470446146</v>
      </c>
      <c r="R56" s="64" t="n">
        <f aca="false">$B11*R$45+$C11*R$46+$D11*R$47+$E11*R$48+$F11*R$49</f>
        <v>0.0341531100163085</v>
      </c>
      <c r="S56" s="64" t="n">
        <f aca="false">$B11*S$45+$C11*S$46+$D11*S$47+$E11*S$48+$F11*S$49</f>
        <v>0.0340751933113711</v>
      </c>
      <c r="T56" s="64" t="n">
        <f aca="false">$B11*T$45+$C11*T$46+$D11*T$47+$E11*T$48+$F11*T$49</f>
        <v>0.0340005184198271</v>
      </c>
      <c r="U56" s="64" t="n">
        <f aca="false">$B11*U$45+$C11*U$46+$D11*U$47+$E11*U$48+$F11*U$49</f>
        <v>0.03392928595887</v>
      </c>
      <c r="V56" s="64" t="n">
        <f aca="false">$B11*V$45+$C11*V$46+$D11*V$47+$E11*V$48+$F11*V$49</f>
        <v>0.0338616659247201</v>
      </c>
      <c r="W56" s="64" t="n">
        <f aca="false">$B11*W$45+$C11*W$46+$D11*W$47+$E11*W$48+$F11*W$49</f>
        <v>0.0337977901829834</v>
      </c>
      <c r="X56" s="64" t="n">
        <f aca="false">$B11*X$45+$C11*X$46+$D11*X$47+$E11*X$48+$F11*X$49</f>
        <v>0.0337377526877717</v>
      </c>
      <c r="Y56" s="64" t="n">
        <f aca="false">$B11*Y$45+$C11*Y$46+$D11*Y$47+$E11*Y$48+$F11*Y$49</f>
        <v>0.0336816258679252</v>
      </c>
      <c r="Z56" s="64" t="n">
        <f aca="false">$B11*Z$45+$C11*Z$46+$D11*Z$47+$E11*Z$48+$F11*Z$49</f>
        <v>0.0336295035351831</v>
      </c>
      <c r="AA56" s="64" t="n">
        <f aca="false">$B11*AA$45+$C11*AA$46+$D11*AA$47+$E11*AA$48+$F11*AA$49</f>
        <v>0.0335815787356708</v>
      </c>
      <c r="AB56" s="64" t="n">
        <f aca="false">$B11*AB$45+$C11*AB$46+$D11*AB$47+$E11*AB$48+$F11*AB$49</f>
        <v>0.0335382554679285</v>
      </c>
      <c r="AC56" s="64" t="n">
        <f aca="false">$B11*AC$45+$C11*AC$46+$D11*AC$47+$E11*AC$48+$F11*AC$49</f>
        <v>0.0335002739982596</v>
      </c>
      <c r="AD56" s="64" t="n">
        <f aca="false">$B11*AD$45+$C11*AD$46+$D11*AD$47+$E11*AD$48+$F11*AD$49</f>
        <v>0.0334688046141324</v>
      </c>
      <c r="AE56" s="64" t="n">
        <f aca="false">$B11*AE$45+$C11*AE$46+$D11*AE$47+$E11*AE$48+$F11*AE$49</f>
        <v>0.033445447605</v>
      </c>
      <c r="AF56" s="64" t="n">
        <f aca="false">$B11*AF$45+$C11*AF$46+$D11*AF$47+$E11*AF$48+$F11*AF$49</f>
        <v>0.0334320869512962</v>
      </c>
      <c r="AG56" s="64" t="n">
        <f aca="false">$B11*AG$45+$C11*AG$46+$D11*AG$47+$E11*AG$48+$F11*AG$49</f>
        <v>0.0334305911586873</v>
      </c>
      <c r="AH56" s="64" t="n">
        <f aca="false">$B11*AH$45+$C11*AH$46+$D11*AH$47+$E11*AH$48+$F11*AH$49</f>
        <v>0.0334424217539567</v>
      </c>
      <c r="AI56" s="64" t="n">
        <f aca="false">$B11*AI$45+$C11*AI$46+$D11*AI$47+$E11*AI$48+$F11*AI$49</f>
        <v>0.0334682614463603</v>
      </c>
      <c r="AJ56" s="64" t="n">
        <f aca="false">$B11*AJ$45+$C11*AJ$46+$D11*AJ$47+$E11*AJ$48+$F11*AJ$49</f>
        <v>0.0335077774033627</v>
      </c>
      <c r="AK56" s="64" t="n">
        <f aca="false">$B11*AK$45+$C11*AK$46+$D11*AK$47+$E11*AK$48+$F11*AK$49</f>
        <v>0.0335595879905559</v>
      </c>
      <c r="AL56" s="64" t="n">
        <f aca="false">$B11*AL$45+$C11*AL$46+$D11*AL$47+$E11*AL$48+$F11*AL$49</f>
        <v>0.033621431119169</v>
      </c>
      <c r="AM56" s="64" t="n">
        <f aca="false">$B11*AM$45+$C11*AM$46+$D11*AM$47+$E11*AM$48+$F11*AM$49</f>
        <v>0.0336904736417163</v>
      </c>
      <c r="AN56" s="64" t="n">
        <f aca="false">$B11*AN$45+$C11*AN$46+$D11*AN$47+$E11*AN$48+$F11*AN$49</f>
        <v>0.0337636743526417</v>
      </c>
      <c r="AO56" s="64" t="n">
        <f aca="false">$B11*AO$45+$C11*AO$46+$D11*AO$47+$E11*AO$48+$F11*AO$49</f>
        <v>0.0338381188809023</v>
      </c>
      <c r="AP56" s="64" t="n">
        <f aca="false">$B11*AP$45+$C11*AP$46+$D11*AP$47+$E11*AP$48+$F11*AP$49</f>
        <v>0.0339112714608195</v>
      </c>
      <c r="AQ56" s="64" t="n">
        <f aca="false">$B11*AQ$45+$C11*AQ$46+$D11*AQ$47+$E11*AQ$48+$F11*AQ$49</f>
        <v>0.0339811215467964</v>
      </c>
      <c r="AR56" s="64" t="n">
        <f aca="false">$B11*AR$45+$C11*AR$46+$D11*AR$47+$E11*AR$48+$F11*AR$49</f>
        <v>0.0340462310692238</v>
      </c>
      <c r="AS56" s="64" t="n">
        <f aca="false">$B11*AS$45+$C11*AS$46+$D11*AS$47+$E11*AS$48+$F11*AS$49</f>
        <v>0.03410570513752</v>
      </c>
    </row>
    <row r="57" customFormat="false" ht="15" hidden="false" customHeight="true" outlineLevel="0" collapsed="false">
      <c r="I57" s="5" t="s">
        <v>241</v>
      </c>
      <c r="J57" s="64" t="n">
        <f aca="false">$B12*J$45+$C12*J$46+$D12*J$47+$E12*J$48+$F12*J$49</f>
        <v>0.0136851621182144</v>
      </c>
      <c r="K57" s="64" t="n">
        <f aca="false">$B12*K$45+$C12*K$46+$D12*K$47+$E12*K$48+$F12*K$49</f>
        <v>0.0140255169706881</v>
      </c>
      <c r="L57" s="64" t="n">
        <f aca="false">$B12*L$45+$C12*L$46+$D12*L$47+$E12*L$48+$F12*L$49</f>
        <v>0.0143672601389134</v>
      </c>
      <c r="M57" s="64" t="n">
        <f aca="false">$B12*M$45+$C12*M$46+$D12*M$47+$E12*M$48+$F12*M$49</f>
        <v>0.0147098357787938</v>
      </c>
      <c r="N57" s="64" t="n">
        <f aca="false">$B12*N$45+$C12*N$46+$D12*N$47+$E12*N$48+$F12*N$49</f>
        <v>0.0150526105849019</v>
      </c>
      <c r="O57" s="64" t="n">
        <f aca="false">$B12*O$45+$C12*O$46+$D12*O$47+$E12*O$48+$F12*O$49</f>
        <v>0.015394851990669</v>
      </c>
      <c r="P57" s="64" t="n">
        <f aca="false">$B12*P$45+$C12*P$46+$D12*P$47+$E12*P$48+$F12*P$49</f>
        <v>0.0157356996795305</v>
      </c>
      <c r="Q57" s="64" t="n">
        <f aca="false">$B12*Q$45+$C12*Q$46+$D12*Q$47+$E12*Q$48+$F12*Q$49</f>
        <v>0.0160741289478779</v>
      </c>
      <c r="R57" s="64" t="n">
        <f aca="false">$B12*R$45+$C12*R$46+$D12*R$47+$E12*R$48+$F12*R$49</f>
        <v>0.0164089044814076</v>
      </c>
      <c r="S57" s="64" t="n">
        <f aca="false">$B12*S$45+$C12*S$46+$D12*S$47+$E12*S$48+$F12*S$49</f>
        <v>0.0167385234326358</v>
      </c>
      <c r="T57" s="64" t="n">
        <f aca="false">$B12*T$45+$C12*T$46+$D12*T$47+$E12*T$48+$F12*T$49</f>
        <v>0.0170611475713129</v>
      </c>
      <c r="U57" s="64" t="n">
        <f aca="false">$B12*U$45+$C12*U$46+$D12*U$47+$E12*U$48+$F12*U$49</f>
        <v>0.0173745260934044</v>
      </c>
      <c r="V57" s="64" t="n">
        <f aca="false">$B12*V$45+$C12*V$46+$D12*V$47+$E12*V$48+$F12*V$49</f>
        <v>0.0176759139010456</v>
      </c>
      <c r="W57" s="64" t="n">
        <f aca="false">$B12*W$45+$C12*W$46+$D12*W$47+$E12*W$48+$F12*W$49</f>
        <v>0.0179619952957186</v>
      </c>
      <c r="X57" s="64" t="n">
        <f aca="false">$B12*X$45+$C12*X$46+$D12*X$47+$E12*X$48+$F12*X$49</f>
        <v>0.0182288302601412</v>
      </c>
      <c r="Y57" s="64" t="n">
        <f aca="false">$B12*Y$45+$C12*Y$46+$D12*Y$47+$E12*Y$48+$F12*Y$49</f>
        <v>0.0184718491515794</v>
      </c>
      <c r="Z57" s="64" t="n">
        <f aca="false">$B12*Z$45+$C12*Z$46+$D12*Z$47+$E12*Z$48+$F12*Z$49</f>
        <v>0.0186859292286242</v>
      </c>
      <c r="AA57" s="64" t="n">
        <f aca="false">$B12*AA$45+$C12*AA$46+$D12*AA$47+$E12*AA$48+$F12*AA$49</f>
        <v>0.0188655880253012</v>
      </c>
      <c r="AB57" s="64" t="n">
        <f aca="false">$B12*AB$45+$C12*AB$46+$D12*AB$47+$E12*AB$48+$F12*AB$49</f>
        <v>0.0190053173194424</v>
      </c>
      <c r="AC57" s="64" t="n">
        <f aca="false">$B12*AC$45+$C12*AC$46+$D12*AC$47+$E12*AC$48+$F12*AC$49</f>
        <v>0.0191000521128721</v>
      </c>
      <c r="AD57" s="64" t="n">
        <f aca="false">$B12*AD$45+$C12*AD$46+$D12*AD$47+$E12*AD$48+$F12*AD$49</f>
        <v>0.0191457246864335</v>
      </c>
      <c r="AE57" s="64" t="n">
        <f aca="false">$B12*AE$45+$C12*AE$46+$D12*AE$47+$E12*AE$48+$F12*AE$49</f>
        <v>0.0191398109009997</v>
      </c>
      <c r="AF57" s="64" t="n">
        <f aca="false">$B12*AF$45+$C12*AF$46+$D12*AF$47+$E12*AF$48+$F12*AF$49</f>
        <v>0.0190817595763736</v>
      </c>
      <c r="AG57" s="64" t="n">
        <f aca="false">$B12*AG$45+$C12*AG$46+$D12*AG$47+$E12*AG$48+$F12*AG$49</f>
        <v>0.0189732213408111</v>
      </c>
      <c r="AH57" s="64" t="n">
        <f aca="false">$B12*AH$45+$C12*AH$46+$D12*AH$47+$E12*AH$48+$F12*AH$49</f>
        <v>0.0188180484555107</v>
      </c>
      <c r="AI57" s="64" t="n">
        <f aca="false">$B12*AI$45+$C12*AI$46+$D12*AI$47+$E12*AI$48+$F12*AI$49</f>
        <v>0.0186220874971479</v>
      </c>
      <c r="AJ57" s="64" t="n">
        <f aca="false">$B12*AJ$45+$C12*AJ$46+$D12*AJ$47+$E12*AJ$48+$F12*AJ$49</f>
        <v>0.0183928068660855</v>
      </c>
      <c r="AK57" s="64" t="n">
        <f aca="false">$B12*AK$45+$C12*AK$46+$D12*AK$47+$E12*AK$48+$F12*AK$49</f>
        <v>0.0181387970724012</v>
      </c>
      <c r="AL57" s="64" t="n">
        <f aca="false">$B12*AL$45+$C12*AL$46+$D12*AL$47+$E12*AL$48+$F12*AL$49</f>
        <v>0.0178691797313749</v>
      </c>
      <c r="AM57" s="64" t="n">
        <f aca="false">$B12*AM$45+$C12*AM$46+$D12*AM$47+$E12*AM$48+$F12*AM$49</f>
        <v>0.0175929761020547</v>
      </c>
      <c r="AN57" s="64" t="n">
        <f aca="false">$B12*AN$45+$C12*AN$46+$D12*AN$47+$E12*AN$48+$F12*AN$49</f>
        <v>0.0173185076919122</v>
      </c>
      <c r="AO57" s="64" t="n">
        <f aca="false">$B12*AO$45+$C12*AO$46+$D12*AO$47+$E12*AO$48+$F12*AO$49</f>
        <v>0.0170529085857817</v>
      </c>
      <c r="AP57" s="64" t="n">
        <f aca="false">$B12*AP$45+$C12*AP$46+$D12*AP$47+$E12*AP$48+$F12*AP$49</f>
        <v>0.0168018104415079</v>
      </c>
      <c r="AQ57" s="64" t="n">
        <f aca="false">$B12*AQ$45+$C12*AQ$46+$D12*AQ$47+$E12*AQ$48+$F12*AQ$49</f>
        <v>0.0165692230369363</v>
      </c>
      <c r="AR57" s="64" t="n">
        <f aca="false">$B12*AR$45+$C12*AR$46+$D12*AR$47+$E12*AR$48+$F12*AR$49</f>
        <v>0.0163575925293659</v>
      </c>
      <c r="AS57" s="64" t="n">
        <f aca="false">$B12*AS$45+$C12*AS$46+$D12*AS$47+$E12*AS$48+$F12*AS$49</f>
        <v>0.0161679909443058</v>
      </c>
    </row>
    <row r="58" customFormat="false" ht="15" hidden="false" customHeight="true" outlineLevel="0" collapsed="false">
      <c r="I58" s="5" t="s">
        <v>242</v>
      </c>
      <c r="J58" s="64" t="n">
        <f aca="false">$B13*J$45+$C13*J$46+$D13*J$47+$E13*J$48+$F13*J$49</f>
        <v>0.0200337603599969</v>
      </c>
      <c r="K58" s="64" t="n">
        <f aca="false">$B13*K$45+$C13*K$46+$D13*K$47+$E13*K$48+$F13*K$49</f>
        <v>0.0205022156168808</v>
      </c>
      <c r="L58" s="64" t="n">
        <f aca="false">$B13*L$45+$C13*L$46+$D13*L$47+$E13*L$48+$F13*L$49</f>
        <v>0.0209709398531693</v>
      </c>
      <c r="M58" s="64" t="n">
        <f aca="false">$B13*M$45+$C13*M$46+$D13*M$47+$E13*M$48+$F13*M$49</f>
        <v>0.0214391148873424</v>
      </c>
      <c r="N58" s="64" t="n">
        <f aca="false">$B13*N$45+$C13*N$46+$D13*N$47+$E13*N$48+$F13*N$49</f>
        <v>0.0219058292371005</v>
      </c>
      <c r="O58" s="64" t="n">
        <f aca="false">$B13*O$45+$C13*O$46+$D13*O$47+$E13*O$48+$F13*O$49</f>
        <v>0.0223700539243917</v>
      </c>
      <c r="P58" s="64" t="n">
        <f aca="false">$B13*P$45+$C13*P$46+$D13*P$47+$E13*P$48+$F13*P$49</f>
        <v>0.0228306112995195</v>
      </c>
      <c r="Q58" s="64" t="n">
        <f aca="false">$B13*Q$45+$C13*Q$46+$D13*Q$47+$E13*Q$48+$F13*Q$49</f>
        <v>0.0232861355632492</v>
      </c>
      <c r="R58" s="64" t="n">
        <f aca="false">$B13*R$45+$C13*R$46+$D13*R$47+$E13*R$48+$F13*R$49</f>
        <v>0.0237350237550287</v>
      </c>
      <c r="S58" s="64" t="n">
        <f aca="false">$B13*S$45+$C13*S$46+$D13*S$47+$E13*S$48+$F13*S$49</f>
        <v>0.0241753763473686</v>
      </c>
      <c r="T58" s="64" t="n">
        <f aca="false">$B13*T$45+$C13*T$46+$D13*T$47+$E13*T$48+$F13*T$49</f>
        <v>0.0246049274403319</v>
      </c>
      <c r="U58" s="64" t="n">
        <f aca="false">$B13*U$45+$C13*U$46+$D13*U$47+$E13*U$48+$F13*U$49</f>
        <v>0.0250209661671757</v>
      </c>
      <c r="V58" s="64" t="n">
        <f aca="false">$B13*V$45+$C13*V$46+$D13*V$47+$E13*V$48+$F13*V$49</f>
        <v>0.0254202536552693</v>
      </c>
      <c r="W58" s="64" t="n">
        <f aca="false">$B13*W$45+$C13*W$46+$D13*W$47+$E13*W$48+$F13*W$49</f>
        <v>0.0257989440886475</v>
      </c>
      <c r="X58" s="64" t="n">
        <f aca="false">$B13*X$45+$C13*X$46+$D13*X$47+$E13*X$48+$F13*X$49</f>
        <v>0.0261525242531723</v>
      </c>
      <c r="Y58" s="64" t="n">
        <f aca="false">$B13*Y$45+$C13*Y$46+$D13*Y$47+$E13*Y$48+$F13*Y$49</f>
        <v>0.0264757930159719</v>
      </c>
      <c r="Z58" s="64" t="n">
        <f aca="false">$B13*Z$45+$C13*Z$46+$D13*Z$47+$E13*Z$48+$F13*Z$49</f>
        <v>0.0267629090061769</v>
      </c>
      <c r="AA58" s="64" t="n">
        <f aca="false">$B13*AA$45+$C13*AA$46+$D13*AA$47+$E13*AA$48+$F13*AA$49</f>
        <v>0.0270075382766069</v>
      </c>
      <c r="AB58" s="64" t="n">
        <f aca="false">$B13*AB$45+$C13*AB$46+$D13*AB$47+$E13*AB$48+$F13*AB$49</f>
        <v>0.0272031295672848</v>
      </c>
      <c r="AC58" s="64" t="n">
        <f aca="false">$B13*AC$45+$C13*AC$46+$D13*AC$47+$E13*AC$48+$F13*AC$49</f>
        <v>0.0273433290264963</v>
      </c>
      <c r="AD58" s="64" t="n">
        <f aca="false">$B13*AD$45+$C13*AD$46+$D13*AD$47+$E13*AD$48+$F13*AD$49</f>
        <v>0.0274225187131451</v>
      </c>
      <c r="AE58" s="64" t="n">
        <f aca="false">$B13*AE$45+$C13*AE$46+$D13*AE$47+$E13*AE$48+$F13*AE$49</f>
        <v>0.0274364303135935</v>
      </c>
      <c r="AF58" s="64" t="n">
        <f aca="false">$B13*AF$45+$C13*AF$46+$D13*AF$47+$E13*AF$48+$F13*AF$49</f>
        <v>0.0273827585153805</v>
      </c>
      <c r="AG58" s="64" t="n">
        <f aca="false">$B13*AG$45+$C13*AG$46+$D13*AG$47+$E13*AG$48+$F13*AG$49</f>
        <v>0.0272616860855115</v>
      </c>
      <c r="AH58" s="64" t="n">
        <f aca="false">$B13*AH$45+$C13*AH$46+$D13*AH$47+$E13*AH$48+$F13*AH$49</f>
        <v>0.0270762345492014</v>
      </c>
      <c r="AI58" s="64" t="n">
        <f aca="false">$B13*AI$45+$C13*AI$46+$D13*AI$47+$E13*AI$48+$F13*AI$49</f>
        <v>0.0268323647815438</v>
      </c>
      <c r="AJ58" s="64" t="n">
        <f aca="false">$B13*AJ$45+$C13*AJ$46+$D13*AJ$47+$E13*AJ$48+$F13*AJ$49</f>
        <v>0.0265387711605064</v>
      </c>
      <c r="AK58" s="64" t="n">
        <f aca="false">$B13*AK$45+$C13*AK$46+$D13*AK$47+$E13*AK$48+$F13*AK$49</f>
        <v>0.0262063504579326</v>
      </c>
      <c r="AL58" s="64" t="n">
        <f aca="false">$B13*AL$45+$C13*AL$46+$D13*AL$47+$E13*AL$48+$F13*AL$49</f>
        <v>0.0258473872120732</v>
      </c>
      <c r="AM58" s="64" t="n">
        <f aca="false">$B13*AM$45+$C13*AM$46+$D13*AM$47+$E13*AM$48+$F13*AM$49</f>
        <v>0.0254745667530096</v>
      </c>
      <c r="AN58" s="64" t="n">
        <f aca="false">$B13*AN$45+$C13*AN$46+$D13*AN$47+$E13*AN$48+$F13*AN$49</f>
        <v>0.0250999757097178</v>
      </c>
      <c r="AO58" s="64" t="n">
        <f aca="false">$B13*AO$45+$C13*AO$46+$D13*AO$47+$E13*AO$48+$F13*AO$49</f>
        <v>0.0247342529106441</v>
      </c>
      <c r="AP58" s="64" t="n">
        <f aca="false">$B13*AP$45+$C13*AP$46+$D13*AP$47+$E13*AP$48+$F13*AP$49</f>
        <v>0.0243860087379037</v>
      </c>
      <c r="AQ58" s="64" t="n">
        <f aca="false">$B13*AQ$45+$C13*AQ$46+$D13*AQ$47+$E13*AQ$48+$F13*AQ$49</f>
        <v>0.0240615586552323</v>
      </c>
      <c r="AR58" s="64" t="n">
        <f aca="false">$B13*AR$45+$C13*AR$46+$D13*AR$47+$E13*AR$48+$F13*AR$49</f>
        <v>0.0237649458206917</v>
      </c>
      <c r="AS58" s="64" t="n">
        <f aca="false">$B13*AS$45+$C13*AS$46+$D13*AS$47+$E13*AS$48+$F13*AS$49</f>
        <v>0.0234981801389885</v>
      </c>
    </row>
    <row r="59" customFormat="false" ht="15" hidden="false" customHeight="true" outlineLevel="0" collapsed="false">
      <c r="I59" s="5" t="s">
        <v>243</v>
      </c>
      <c r="J59" s="64" t="n">
        <f aca="false">$B14*J$45+$C14*J$46+$D14*J$47+$E14*J$48+$F14*J$49</f>
        <v>0.0306630866944912</v>
      </c>
      <c r="K59" s="64" t="n">
        <f aca="false">$B14*K$45+$C14*K$46+$D14*K$47+$E14*K$48+$F14*K$49</f>
        <v>0.0313562281860301</v>
      </c>
      <c r="L59" s="64" t="n">
        <f aca="false">$B14*L$45+$C14*L$46+$D14*L$47+$E14*L$48+$F14*L$49</f>
        <v>0.0320481895577625</v>
      </c>
      <c r="M59" s="64" t="n">
        <f aca="false">$B14*M$45+$C14*M$46+$D14*M$47+$E14*M$48+$F14*M$49</f>
        <v>0.0327377070069906</v>
      </c>
      <c r="N59" s="64" t="n">
        <f aca="false">$B14*N$45+$C14*N$46+$D14*N$47+$E14*N$48+$F14*N$49</f>
        <v>0.0334233927319238</v>
      </c>
      <c r="O59" s="64" t="n">
        <f aca="false">$B14*O$45+$C14*O$46+$D14*O$47+$E14*O$48+$F14*O$49</f>
        <v>0.0341037052571554</v>
      </c>
      <c r="P59" s="64" t="n">
        <f aca="false">$B14*P$45+$C14*P$46+$D14*P$47+$E14*P$48+$F14*P$49</f>
        <v>0.0347769117450992</v>
      </c>
      <c r="Q59" s="64" t="n">
        <f aca="false">$B14*Q$45+$C14*Q$46+$D14*Q$47+$E14*Q$48+$F14*Q$49</f>
        <v>0.0354410410475111</v>
      </c>
      <c r="R59" s="64" t="n">
        <f aca="false">$B14*R$45+$C14*R$46+$D14*R$47+$E14*R$48+$F14*R$49</f>
        <v>0.036093826443454</v>
      </c>
      <c r="S59" s="64" t="n">
        <f aca="false">$B14*S$45+$C14*S$46+$D14*S$47+$E14*S$48+$F14*S$49</f>
        <v>0.0367326374760029</v>
      </c>
      <c r="T59" s="64" t="n">
        <f aca="false">$B14*T$45+$C14*T$46+$D14*T$47+$E14*T$48+$F14*T$49</f>
        <v>0.0373544011793205</v>
      </c>
      <c r="U59" s="64" t="n">
        <f aca="false">$B14*U$45+$C14*U$46+$D14*U$47+$E14*U$48+$F14*U$49</f>
        <v>0.0379555144546129</v>
      </c>
      <c r="V59" s="64" t="n">
        <f aca="false">$B14*V$45+$C14*V$46+$D14*V$47+$E14*V$48+$F14*V$49</f>
        <v>0.0385317516034342</v>
      </c>
      <c r="W59" s="64" t="n">
        <f aca="false">$B14*W$45+$C14*W$46+$D14*W$47+$E14*W$48+$F14*W$49</f>
        <v>0.0390781742461804</v>
      </c>
      <c r="X59" s="64" t="n">
        <f aca="false">$B14*X$45+$C14*X$46+$D14*X$47+$E14*X$48+$F14*X$49</f>
        <v>0.0395890551686581</v>
      </c>
      <c r="Y59" s="64" t="n">
        <f aca="false">$B14*Y$45+$C14*Y$46+$D14*Y$47+$E14*Y$48+$F14*Y$49</f>
        <v>0.0400578330501428</v>
      </c>
      <c r="Z59" s="64" t="n">
        <f aca="false">$B14*Z$45+$C14*Z$46+$D14*Z$47+$E14*Z$48+$F14*Z$49</f>
        <v>0.0404771213288894</v>
      </c>
      <c r="AA59" s="64" t="n">
        <f aca="false">$B14*AA$45+$C14*AA$46+$D14*AA$47+$E14*AA$48+$F14*AA$49</f>
        <v>0.0408388011317055</v>
      </c>
      <c r="AB59" s="64" t="n">
        <f aca="false">$B14*AB$45+$C14*AB$46+$D14*AB$47+$E14*AB$48+$F14*AB$49</f>
        <v>0.0411342340973665</v>
      </c>
      <c r="AC59" s="64" t="n">
        <f aca="false">$B14*AC$45+$C14*AC$46+$D14*AC$47+$E14*AC$48+$F14*AC$49</f>
        <v>0.0413546336087698</v>
      </c>
      <c r="AD59" s="64" t="n">
        <f aca="false">$B14*AD$45+$C14*AD$46+$D14*AD$47+$E14*AD$48+$F14*AD$49</f>
        <v>0.0414916275293471</v>
      </c>
      <c r="AE59" s="64" t="n">
        <f aca="false">$B14*AE$45+$C14*AE$46+$D14*AE$47+$E14*AE$48+$F14*AE$49</f>
        <v>0.041538024216114</v>
      </c>
      <c r="AF59" s="64" t="n">
        <f aca="false">$B14*AF$45+$C14*AF$46+$D14*AF$47+$E14*AF$48+$F14*AF$49</f>
        <v>0.0414887483939034</v>
      </c>
      <c r="AG59" s="64" t="n">
        <f aca="false">$B14*AG$45+$C14*AG$46+$D14*AG$47+$E14*AG$48+$F14*AG$49</f>
        <v>0.0413418442817126</v>
      </c>
      <c r="AH59" s="64" t="n">
        <f aca="false">$B14*AH$45+$C14*AH$46+$D14*AH$47+$E14*AH$48+$F14*AH$49</f>
        <v>0.0410993675519153</v>
      </c>
      <c r="AI59" s="64" t="n">
        <f aca="false">$B14*AI$45+$C14*AI$46+$D14*AI$47+$E14*AI$48+$F14*AI$49</f>
        <v>0.0407679411314558</v>
      </c>
      <c r="AJ59" s="64" t="n">
        <f aca="false">$B14*AJ$45+$C14*AJ$46+$D14*AJ$47+$E14*AJ$48+$F14*AJ$49</f>
        <v>0.0403587707000196</v>
      </c>
      <c r="AK59" s="64" t="n">
        <f aca="false">$B14*AK$45+$C14*AK$46+$D14*AK$47+$E14*AK$48+$F14*AK$49</f>
        <v>0.0398870181099293</v>
      </c>
      <c r="AL59" s="64" t="n">
        <f aca="false">$B14*AL$45+$C14*AL$46+$D14*AL$47+$E14*AL$48+$F14*AL$49</f>
        <v>0.0393705884387936</v>
      </c>
      <c r="AM59" s="64" t="n">
        <f aca="false">$B14*AM$45+$C14*AM$46+$D14*AM$47+$E14*AM$48+$F14*AM$49</f>
        <v>0.0388285407642024</v>
      </c>
      <c r="AN59" s="64" t="n">
        <f aca="false">$B14*AN$45+$C14*AN$46+$D14*AN$47+$E14*AN$48+$F14*AN$49</f>
        <v>0.038279423660774</v>
      </c>
      <c r="AO59" s="64" t="n">
        <f aca="false">$B14*AO$45+$C14*AO$46+$D14*AO$47+$E14*AO$48+$F14*AO$49</f>
        <v>0.0377398325817727</v>
      </c>
      <c r="AP59" s="64" t="n">
        <f aca="false">$B14*AP$45+$C14*AP$46+$D14*AP$47+$E14*AP$48+$F14*AP$49</f>
        <v>0.0372233988078656</v>
      </c>
      <c r="AQ59" s="64" t="n">
        <f aca="false">$B14*AQ$45+$C14*AQ$46+$D14*AQ$47+$E14*AQ$48+$F14*AQ$49</f>
        <v>0.0367402912436832</v>
      </c>
      <c r="AR59" s="64" t="n">
        <f aca="false">$B14*AR$45+$C14*AR$46+$D14*AR$47+$E14*AR$48+$F14*AR$49</f>
        <v>0.0362971922734479</v>
      </c>
      <c r="AS59" s="64" t="n">
        <f aca="false">$B14*AS$45+$C14*AS$46+$D14*AS$47+$E14*AS$48+$F14*AS$49</f>
        <v>0.0358976304822583</v>
      </c>
    </row>
    <row r="60" customFormat="false" ht="15" hidden="false" customHeight="true" outlineLevel="0" collapsed="false">
      <c r="I60" s="5" t="s">
        <v>244</v>
      </c>
      <c r="J60" s="64" t="n">
        <f aca="false">$B15*J$45+$C15*J$46+$D15*J$47+$E15*J$48+$F15*J$49</f>
        <v>0.0342061954726559</v>
      </c>
      <c r="K60" s="64" t="n">
        <f aca="false">$B15*K$45+$C15*K$46+$D15*K$47+$E15*K$48+$F15*K$49</f>
        <v>0.0349742323757465</v>
      </c>
      <c r="L60" s="64" t="n">
        <f aca="false">$B15*L$45+$C15*L$46+$D15*L$47+$E15*L$48+$F15*L$49</f>
        <v>0.0357406061259603</v>
      </c>
      <c r="M60" s="64" t="n">
        <f aca="false">$B15*M$45+$C15*M$46+$D15*M$47+$E15*M$48+$F15*M$49</f>
        <v>0.0365039043802067</v>
      </c>
      <c r="N60" s="64" t="n">
        <f aca="false">$B15*N$45+$C15*N$46+$D15*N$47+$E15*N$48+$F15*N$49</f>
        <v>0.0372625805635316</v>
      </c>
      <c r="O60" s="64" t="n">
        <f aca="false">$B15*O$45+$C15*O$46+$D15*O$47+$E15*O$48+$F15*O$49</f>
        <v>0.0380149223680766</v>
      </c>
      <c r="P60" s="64" t="n">
        <f aca="false">$B15*P$45+$C15*P$46+$D15*P$47+$E15*P$48+$F15*P$49</f>
        <v>0.0387590118936258</v>
      </c>
      <c r="Q60" s="64" t="n">
        <f aca="false">$B15*Q$45+$C15*Q$46+$D15*Q$47+$E15*Q$48+$F15*Q$49</f>
        <v>0.0394926762089317</v>
      </c>
      <c r="R60" s="64" t="n">
        <f aca="false">$B15*R$45+$C15*R$46+$D15*R$47+$E15*R$48+$F15*R$49</f>
        <v>0.0402134273395958</v>
      </c>
      <c r="S60" s="64" t="n">
        <f aca="false">$B15*S$45+$C15*S$46+$D15*S$47+$E15*S$48+$F15*S$49</f>
        <v>0.0409183911855477</v>
      </c>
      <c r="T60" s="64" t="n">
        <f aca="false">$B15*T$45+$C15*T$46+$D15*T$47+$E15*T$48+$F15*T$49</f>
        <v>0.0416042257589834</v>
      </c>
      <c r="U60" s="64" t="n">
        <f aca="false">$B15*U$45+$C15*U$46+$D15*U$47+$E15*U$48+$F15*U$49</f>
        <v>0.0422670305504253</v>
      </c>
      <c r="V60" s="64" t="n">
        <f aca="false">$B15*V$45+$C15*V$46+$D15*V$47+$E15*V$48+$F15*V$49</f>
        <v>0.0429022509194891</v>
      </c>
      <c r="W60" s="64" t="n">
        <f aca="false">$B15*W$45+$C15*W$46+$D15*W$47+$E15*W$48+$F15*W$49</f>
        <v>0.0435045842986914</v>
      </c>
      <c r="X60" s="64" t="n">
        <f aca="false">$B15*X$45+$C15*X$46+$D15*X$47+$E15*X$48+$F15*X$49</f>
        <v>0.0440678988071534</v>
      </c>
      <c r="Y60" s="64" t="n">
        <f aca="false">$B15*Y$45+$C15*Y$46+$D15*Y$47+$E15*Y$48+$F15*Y$49</f>
        <v>0.0445851797281997</v>
      </c>
      <c r="Z60" s="64" t="n">
        <f aca="false">$B15*Z$45+$C15*Z$46+$D15*Z$47+$E15*Z$48+$F15*Z$49</f>
        <v>0.0450485254364602</v>
      </c>
      <c r="AA60" s="64" t="n">
        <f aca="false">$B15*AA$45+$C15*AA$46+$D15*AA$47+$E15*AA$48+$F15*AA$49</f>
        <v>0.0454492220834051</v>
      </c>
      <c r="AB60" s="64" t="n">
        <f aca="false">$B15*AB$45+$C15*AB$46+$D15*AB$47+$E15*AB$48+$F15*AB$49</f>
        <v>0.0457779356073937</v>
      </c>
      <c r="AC60" s="64" t="n">
        <f aca="false">$B15*AC$45+$C15*AC$46+$D15*AC$47+$E15*AC$48+$F15*AC$49</f>
        <v>0.0460250684695276</v>
      </c>
      <c r="AD60" s="64" t="n">
        <f aca="false">$B15*AD$45+$C15*AD$46+$D15*AD$47+$E15*AD$48+$F15*AD$49</f>
        <v>0.0461813304680811</v>
      </c>
      <c r="AE60" s="64" t="n">
        <f aca="false">$B15*AE$45+$C15*AE$46+$D15*AE$47+$E15*AE$48+$F15*AE$49</f>
        <v>0.0462385555169541</v>
      </c>
      <c r="AF60" s="64" t="n">
        <f aca="false">$B15*AF$45+$C15*AF$46+$D15*AF$47+$E15*AF$48+$F15*AF$49</f>
        <v>0.0461907450200777</v>
      </c>
      <c r="AG60" s="64" t="n">
        <f aca="false">$B15*AG$45+$C15*AG$46+$D15*AG$47+$E15*AG$48+$F15*AG$49</f>
        <v>0.046035230347113</v>
      </c>
      <c r="AH60" s="64" t="n">
        <f aca="false">$B15*AH$45+$C15*AH$46+$D15*AH$47+$E15*AH$48+$F15*AH$49</f>
        <v>0.0457737452194866</v>
      </c>
      <c r="AI60" s="64" t="n">
        <f aca="false">$B15*AI$45+$C15*AI$46+$D15*AI$47+$E15*AI$48+$F15*AI$49</f>
        <v>0.0454131332480931</v>
      </c>
      <c r="AJ60" s="64" t="n">
        <f aca="false">$B15*AJ$45+$C15*AJ$46+$D15*AJ$47+$E15*AJ$48+$F15*AJ$49</f>
        <v>0.0449654372131907</v>
      </c>
      <c r="AK60" s="64" t="n">
        <f aca="false">$B15*AK$45+$C15*AK$46+$D15*AK$47+$E15*AK$48+$F15*AK$49</f>
        <v>0.0444472406605949</v>
      </c>
      <c r="AL60" s="64" t="n">
        <f aca="false">$B15*AL$45+$C15*AL$46+$D15*AL$47+$E15*AL$48+$F15*AL$49</f>
        <v>0.0438783221810338</v>
      </c>
      <c r="AM60" s="64" t="n">
        <f aca="false">$B15*AM$45+$C15*AM$46+$D15*AM$47+$E15*AM$48+$F15*AM$49</f>
        <v>0.0432798654346001</v>
      </c>
      <c r="AN60" s="64" t="n">
        <f aca="false">$B15*AN$45+$C15*AN$46+$D15*AN$47+$E15*AN$48+$F15*AN$49</f>
        <v>0.0426725729777928</v>
      </c>
      <c r="AO60" s="64" t="n">
        <f aca="false">$B15*AO$45+$C15*AO$46+$D15*AO$47+$E15*AO$48+$F15*AO$49</f>
        <v>0.0420750258054823</v>
      </c>
      <c r="AP60" s="64" t="n">
        <f aca="false">$B15*AP$45+$C15*AP$46+$D15*AP$47+$E15*AP$48+$F15*AP$49</f>
        <v>0.0415025288311862</v>
      </c>
      <c r="AQ60" s="64" t="n">
        <f aca="false">$B15*AQ$45+$C15*AQ$46+$D15*AQ$47+$E15*AQ$48+$F15*AQ$49</f>
        <v>0.0409665354398335</v>
      </c>
      <c r="AR60" s="64" t="n">
        <f aca="false">$B15*AR$45+$C15*AR$46+$D15*AR$47+$E15*AR$48+$F15*AR$49</f>
        <v>0.0404746077577</v>
      </c>
      <c r="AS60" s="64" t="n">
        <f aca="false">$B15*AS$45+$C15*AS$46+$D15*AS$47+$E15*AS$48+$F15*AS$49</f>
        <v>0.0400307805966816</v>
      </c>
    </row>
    <row r="61" customFormat="false" ht="15" hidden="false" customHeight="true" outlineLevel="0" collapsed="false">
      <c r="I61" s="5" t="s">
        <v>245</v>
      </c>
      <c r="J61" s="64" t="n">
        <f aca="false">$B16*J$45+$C16*J$46+$D16*J$47+$E16*J$48+$F16*J$49</f>
        <v>0.0342061954726559</v>
      </c>
      <c r="K61" s="64" t="n">
        <f aca="false">$B16*K$45+$C16*K$46+$D16*K$47+$E16*K$48+$F16*K$49</f>
        <v>0.0349742323757465</v>
      </c>
      <c r="L61" s="64" t="n">
        <f aca="false">$B16*L$45+$C16*L$46+$D16*L$47+$E16*L$48+$F16*L$49</f>
        <v>0.0357406061259603</v>
      </c>
      <c r="M61" s="64" t="n">
        <f aca="false">$B16*M$45+$C16*M$46+$D16*M$47+$E16*M$48+$F16*M$49</f>
        <v>0.0365039043802067</v>
      </c>
      <c r="N61" s="64" t="n">
        <f aca="false">$B16*N$45+$C16*N$46+$D16*N$47+$E16*N$48+$F16*N$49</f>
        <v>0.0372625805635316</v>
      </c>
      <c r="O61" s="64" t="n">
        <f aca="false">$B16*O$45+$C16*O$46+$D16*O$47+$E16*O$48+$F16*O$49</f>
        <v>0.0380149223680766</v>
      </c>
      <c r="P61" s="64" t="n">
        <f aca="false">$B16*P$45+$C16*P$46+$D16*P$47+$E16*P$48+$F16*P$49</f>
        <v>0.0387590118936258</v>
      </c>
      <c r="Q61" s="64" t="n">
        <f aca="false">$B16*Q$45+$C16*Q$46+$D16*Q$47+$E16*Q$48+$F16*Q$49</f>
        <v>0.0394926762089317</v>
      </c>
      <c r="R61" s="64" t="n">
        <f aca="false">$B16*R$45+$C16*R$46+$D16*R$47+$E16*R$48+$F16*R$49</f>
        <v>0.0402134273395958</v>
      </c>
      <c r="S61" s="64" t="n">
        <f aca="false">$B16*S$45+$C16*S$46+$D16*S$47+$E16*S$48+$F16*S$49</f>
        <v>0.0409183911855477</v>
      </c>
      <c r="T61" s="64" t="n">
        <f aca="false">$B16*T$45+$C16*T$46+$D16*T$47+$E16*T$48+$F16*T$49</f>
        <v>0.0416042257589834</v>
      </c>
      <c r="U61" s="64" t="n">
        <f aca="false">$B16*U$45+$C16*U$46+$D16*U$47+$E16*U$48+$F16*U$49</f>
        <v>0.0422670305504253</v>
      </c>
      <c r="V61" s="64" t="n">
        <f aca="false">$B16*V$45+$C16*V$46+$D16*V$47+$E16*V$48+$F16*V$49</f>
        <v>0.0429022509194891</v>
      </c>
      <c r="W61" s="64" t="n">
        <f aca="false">$B16*W$45+$C16*W$46+$D16*W$47+$E16*W$48+$F16*W$49</f>
        <v>0.0435045842986914</v>
      </c>
      <c r="X61" s="64" t="n">
        <f aca="false">$B16*X$45+$C16*X$46+$D16*X$47+$E16*X$48+$F16*X$49</f>
        <v>0.0440678988071534</v>
      </c>
      <c r="Y61" s="64" t="n">
        <f aca="false">$B16*Y$45+$C16*Y$46+$D16*Y$47+$E16*Y$48+$F16*Y$49</f>
        <v>0.0445851797281997</v>
      </c>
      <c r="Z61" s="64" t="n">
        <f aca="false">$B16*Z$45+$C16*Z$46+$D16*Z$47+$E16*Z$48+$F16*Z$49</f>
        <v>0.0450485254364602</v>
      </c>
      <c r="AA61" s="64" t="n">
        <f aca="false">$B16*AA$45+$C16*AA$46+$D16*AA$47+$E16*AA$48+$F16*AA$49</f>
        <v>0.0454492220834051</v>
      </c>
      <c r="AB61" s="64" t="n">
        <f aca="false">$B16*AB$45+$C16*AB$46+$D16*AB$47+$E16*AB$48+$F16*AB$49</f>
        <v>0.0457779356073937</v>
      </c>
      <c r="AC61" s="64" t="n">
        <f aca="false">$B16*AC$45+$C16*AC$46+$D16*AC$47+$E16*AC$48+$F16*AC$49</f>
        <v>0.0460250684695276</v>
      </c>
      <c r="AD61" s="64" t="n">
        <f aca="false">$B16*AD$45+$C16*AD$46+$D16*AD$47+$E16*AD$48+$F16*AD$49</f>
        <v>0.0461813304680811</v>
      </c>
      <c r="AE61" s="64" t="n">
        <f aca="false">$B16*AE$45+$C16*AE$46+$D16*AE$47+$E16*AE$48+$F16*AE$49</f>
        <v>0.0462385555169541</v>
      </c>
      <c r="AF61" s="64" t="n">
        <f aca="false">$B16*AF$45+$C16*AF$46+$D16*AF$47+$E16*AF$48+$F16*AF$49</f>
        <v>0.0461907450200777</v>
      </c>
      <c r="AG61" s="64" t="n">
        <f aca="false">$B16*AG$45+$C16*AG$46+$D16*AG$47+$E16*AG$48+$F16*AG$49</f>
        <v>0.046035230347113</v>
      </c>
      <c r="AH61" s="64" t="n">
        <f aca="false">$B16*AH$45+$C16*AH$46+$D16*AH$47+$E16*AH$48+$F16*AH$49</f>
        <v>0.0457737452194866</v>
      </c>
      <c r="AI61" s="64" t="n">
        <f aca="false">$B16*AI$45+$C16*AI$46+$D16*AI$47+$E16*AI$48+$F16*AI$49</f>
        <v>0.0454131332480931</v>
      </c>
      <c r="AJ61" s="64" t="n">
        <f aca="false">$B16*AJ$45+$C16*AJ$46+$D16*AJ$47+$E16*AJ$48+$F16*AJ$49</f>
        <v>0.0449654372131907</v>
      </c>
      <c r="AK61" s="64" t="n">
        <f aca="false">$B16*AK$45+$C16*AK$46+$D16*AK$47+$E16*AK$48+$F16*AK$49</f>
        <v>0.0444472406605949</v>
      </c>
      <c r="AL61" s="64" t="n">
        <f aca="false">$B16*AL$45+$C16*AL$46+$D16*AL$47+$E16*AL$48+$F16*AL$49</f>
        <v>0.0438783221810338</v>
      </c>
      <c r="AM61" s="64" t="n">
        <f aca="false">$B16*AM$45+$C16*AM$46+$D16*AM$47+$E16*AM$48+$F16*AM$49</f>
        <v>0.0432798654346001</v>
      </c>
      <c r="AN61" s="64" t="n">
        <f aca="false">$B16*AN$45+$C16*AN$46+$D16*AN$47+$E16*AN$48+$F16*AN$49</f>
        <v>0.0426725729777928</v>
      </c>
      <c r="AO61" s="64" t="n">
        <f aca="false">$B16*AO$45+$C16*AO$46+$D16*AO$47+$E16*AO$48+$F16*AO$49</f>
        <v>0.0420750258054823</v>
      </c>
      <c r="AP61" s="64" t="n">
        <f aca="false">$B16*AP$45+$C16*AP$46+$D16*AP$47+$E16*AP$48+$F16*AP$49</f>
        <v>0.0415025288311862</v>
      </c>
      <c r="AQ61" s="64" t="n">
        <f aca="false">$B16*AQ$45+$C16*AQ$46+$D16*AQ$47+$E16*AQ$48+$F16*AQ$49</f>
        <v>0.0409665354398335</v>
      </c>
      <c r="AR61" s="64" t="n">
        <f aca="false">$B16*AR$45+$C16*AR$46+$D16*AR$47+$E16*AR$48+$F16*AR$49</f>
        <v>0.0404746077577</v>
      </c>
      <c r="AS61" s="64" t="n">
        <f aca="false">$B16*AS$45+$C16*AS$46+$D16*AS$47+$E16*AS$48+$F16*AS$49</f>
        <v>0.0400307805966816</v>
      </c>
    </row>
    <row r="62" customFormat="false" ht="15" hidden="false" customHeight="true" outlineLevel="0" collapsed="false">
      <c r="I62" s="5" t="s">
        <v>246</v>
      </c>
      <c r="J62" s="64" t="n">
        <f aca="false">$B17*J$45+$C17*J$46+$D17*J$47+$E17*J$48+$F17*J$49</f>
        <v>0.0342061954726559</v>
      </c>
      <c r="K62" s="64" t="n">
        <f aca="false">$B17*K$45+$C17*K$46+$D17*K$47+$E17*K$48+$F17*K$49</f>
        <v>0.0349742323757465</v>
      </c>
      <c r="L62" s="64" t="n">
        <f aca="false">$B17*L$45+$C17*L$46+$D17*L$47+$E17*L$48+$F17*L$49</f>
        <v>0.0357406061259603</v>
      </c>
      <c r="M62" s="64" t="n">
        <f aca="false">$B17*M$45+$C17*M$46+$D17*M$47+$E17*M$48+$F17*M$49</f>
        <v>0.0365039043802067</v>
      </c>
      <c r="N62" s="64" t="n">
        <f aca="false">$B17*N$45+$C17*N$46+$D17*N$47+$E17*N$48+$F17*N$49</f>
        <v>0.0372625805635316</v>
      </c>
      <c r="O62" s="64" t="n">
        <f aca="false">$B17*O$45+$C17*O$46+$D17*O$47+$E17*O$48+$F17*O$49</f>
        <v>0.0380149223680766</v>
      </c>
      <c r="P62" s="64" t="n">
        <f aca="false">$B17*P$45+$C17*P$46+$D17*P$47+$E17*P$48+$F17*P$49</f>
        <v>0.0387590118936258</v>
      </c>
      <c r="Q62" s="64" t="n">
        <f aca="false">$B17*Q$45+$C17*Q$46+$D17*Q$47+$E17*Q$48+$F17*Q$49</f>
        <v>0.0394926762089317</v>
      </c>
      <c r="R62" s="64" t="n">
        <f aca="false">$B17*R$45+$C17*R$46+$D17*R$47+$E17*R$48+$F17*R$49</f>
        <v>0.0402134273395958</v>
      </c>
      <c r="S62" s="64" t="n">
        <f aca="false">$B17*S$45+$C17*S$46+$D17*S$47+$E17*S$48+$F17*S$49</f>
        <v>0.0409183911855477</v>
      </c>
      <c r="T62" s="64" t="n">
        <f aca="false">$B17*T$45+$C17*T$46+$D17*T$47+$E17*T$48+$F17*T$49</f>
        <v>0.0416042257589834</v>
      </c>
      <c r="U62" s="64" t="n">
        <f aca="false">$B17*U$45+$C17*U$46+$D17*U$47+$E17*U$48+$F17*U$49</f>
        <v>0.0422670305504253</v>
      </c>
      <c r="V62" s="64" t="n">
        <f aca="false">$B17*V$45+$C17*V$46+$D17*V$47+$E17*V$48+$F17*V$49</f>
        <v>0.0429022509194891</v>
      </c>
      <c r="W62" s="64" t="n">
        <f aca="false">$B17*W$45+$C17*W$46+$D17*W$47+$E17*W$48+$F17*W$49</f>
        <v>0.0435045842986914</v>
      </c>
      <c r="X62" s="64" t="n">
        <f aca="false">$B17*X$45+$C17*X$46+$D17*X$47+$E17*X$48+$F17*X$49</f>
        <v>0.0440678988071534</v>
      </c>
      <c r="Y62" s="64" t="n">
        <f aca="false">$B17*Y$45+$C17*Y$46+$D17*Y$47+$E17*Y$48+$F17*Y$49</f>
        <v>0.0445851797281997</v>
      </c>
      <c r="Z62" s="64" t="n">
        <f aca="false">$B17*Z$45+$C17*Z$46+$D17*Z$47+$E17*Z$48+$F17*Z$49</f>
        <v>0.0450485254364602</v>
      </c>
      <c r="AA62" s="64" t="n">
        <f aca="false">$B17*AA$45+$C17*AA$46+$D17*AA$47+$E17*AA$48+$F17*AA$49</f>
        <v>0.0454492220834051</v>
      </c>
      <c r="AB62" s="64" t="n">
        <f aca="false">$B17*AB$45+$C17*AB$46+$D17*AB$47+$E17*AB$48+$F17*AB$49</f>
        <v>0.0457779356073937</v>
      </c>
      <c r="AC62" s="64" t="n">
        <f aca="false">$B17*AC$45+$C17*AC$46+$D17*AC$47+$E17*AC$48+$F17*AC$49</f>
        <v>0.0460250684695276</v>
      </c>
      <c r="AD62" s="64" t="n">
        <f aca="false">$B17*AD$45+$C17*AD$46+$D17*AD$47+$E17*AD$48+$F17*AD$49</f>
        <v>0.0461813304680811</v>
      </c>
      <c r="AE62" s="64" t="n">
        <f aca="false">$B17*AE$45+$C17*AE$46+$D17*AE$47+$E17*AE$48+$F17*AE$49</f>
        <v>0.0462385555169541</v>
      </c>
      <c r="AF62" s="64" t="n">
        <f aca="false">$B17*AF$45+$C17*AF$46+$D17*AF$47+$E17*AF$48+$F17*AF$49</f>
        <v>0.0461907450200777</v>
      </c>
      <c r="AG62" s="64" t="n">
        <f aca="false">$B17*AG$45+$C17*AG$46+$D17*AG$47+$E17*AG$48+$F17*AG$49</f>
        <v>0.046035230347113</v>
      </c>
      <c r="AH62" s="64" t="n">
        <f aca="false">$B17*AH$45+$C17*AH$46+$D17*AH$47+$E17*AH$48+$F17*AH$49</f>
        <v>0.0457737452194866</v>
      </c>
      <c r="AI62" s="64" t="n">
        <f aca="false">$B17*AI$45+$C17*AI$46+$D17*AI$47+$E17*AI$48+$F17*AI$49</f>
        <v>0.0454131332480931</v>
      </c>
      <c r="AJ62" s="64" t="n">
        <f aca="false">$B17*AJ$45+$C17*AJ$46+$D17*AJ$47+$E17*AJ$48+$F17*AJ$49</f>
        <v>0.0449654372131907</v>
      </c>
      <c r="AK62" s="64" t="n">
        <f aca="false">$B17*AK$45+$C17*AK$46+$D17*AK$47+$E17*AK$48+$F17*AK$49</f>
        <v>0.0444472406605949</v>
      </c>
      <c r="AL62" s="64" t="n">
        <f aca="false">$B17*AL$45+$C17*AL$46+$D17*AL$47+$E17*AL$48+$F17*AL$49</f>
        <v>0.0438783221810338</v>
      </c>
      <c r="AM62" s="64" t="n">
        <f aca="false">$B17*AM$45+$C17*AM$46+$D17*AM$47+$E17*AM$48+$F17*AM$49</f>
        <v>0.0432798654346001</v>
      </c>
      <c r="AN62" s="64" t="n">
        <f aca="false">$B17*AN$45+$C17*AN$46+$D17*AN$47+$E17*AN$48+$F17*AN$49</f>
        <v>0.0426725729777928</v>
      </c>
      <c r="AO62" s="64" t="n">
        <f aca="false">$B17*AO$45+$C17*AO$46+$D17*AO$47+$E17*AO$48+$F17*AO$49</f>
        <v>0.0420750258054823</v>
      </c>
      <c r="AP62" s="64" t="n">
        <f aca="false">$B17*AP$45+$C17*AP$46+$D17*AP$47+$E17*AP$48+$F17*AP$49</f>
        <v>0.0415025288311862</v>
      </c>
      <c r="AQ62" s="64" t="n">
        <f aca="false">$B17*AQ$45+$C17*AQ$46+$D17*AQ$47+$E17*AQ$48+$F17*AQ$49</f>
        <v>0.0409665354398335</v>
      </c>
      <c r="AR62" s="64" t="n">
        <f aca="false">$B17*AR$45+$C17*AR$46+$D17*AR$47+$E17*AR$48+$F17*AR$49</f>
        <v>0.0404746077577</v>
      </c>
      <c r="AS62" s="64" t="n">
        <f aca="false">$B17*AS$45+$C17*AS$46+$D17*AS$47+$E17*AS$48+$F17*AS$49</f>
        <v>0.0400307805966816</v>
      </c>
    </row>
    <row r="63" customFormat="false" ht="15" hidden="false" customHeight="true" outlineLevel="0" collapsed="false">
      <c r="I63" s="5" t="s">
        <v>247</v>
      </c>
      <c r="J63" s="64" t="n">
        <f aca="false">$B18*J$45+$C18*J$46+$D18*J$47+$E18*J$48+$F18*J$49</f>
        <v>0.0342061954726559</v>
      </c>
      <c r="K63" s="64" t="n">
        <f aca="false">$B18*K$45+$C18*K$46+$D18*K$47+$E18*K$48+$F18*K$49</f>
        <v>0.0349742323757465</v>
      </c>
      <c r="L63" s="64" t="n">
        <f aca="false">$B18*L$45+$C18*L$46+$D18*L$47+$E18*L$48+$F18*L$49</f>
        <v>0.0357406061259603</v>
      </c>
      <c r="M63" s="64" t="n">
        <f aca="false">$B18*M$45+$C18*M$46+$D18*M$47+$E18*M$48+$F18*M$49</f>
        <v>0.0365039043802067</v>
      </c>
      <c r="N63" s="64" t="n">
        <f aca="false">$B18*N$45+$C18*N$46+$D18*N$47+$E18*N$48+$F18*N$49</f>
        <v>0.0372625805635316</v>
      </c>
      <c r="O63" s="64" t="n">
        <f aca="false">$B18*O$45+$C18*O$46+$D18*O$47+$E18*O$48+$F18*O$49</f>
        <v>0.0380149223680766</v>
      </c>
      <c r="P63" s="64" t="n">
        <f aca="false">$B18*P$45+$C18*P$46+$D18*P$47+$E18*P$48+$F18*P$49</f>
        <v>0.0387590118936258</v>
      </c>
      <c r="Q63" s="64" t="n">
        <f aca="false">$B18*Q$45+$C18*Q$46+$D18*Q$47+$E18*Q$48+$F18*Q$49</f>
        <v>0.0394926762089317</v>
      </c>
      <c r="R63" s="64" t="n">
        <f aca="false">$B18*R$45+$C18*R$46+$D18*R$47+$E18*R$48+$F18*R$49</f>
        <v>0.0402134273395958</v>
      </c>
      <c r="S63" s="64" t="n">
        <f aca="false">$B18*S$45+$C18*S$46+$D18*S$47+$E18*S$48+$F18*S$49</f>
        <v>0.0409183911855477</v>
      </c>
      <c r="T63" s="64" t="n">
        <f aca="false">$B18*T$45+$C18*T$46+$D18*T$47+$E18*T$48+$F18*T$49</f>
        <v>0.0416042257589834</v>
      </c>
      <c r="U63" s="64" t="n">
        <f aca="false">$B18*U$45+$C18*U$46+$D18*U$47+$E18*U$48+$F18*U$49</f>
        <v>0.0422670305504253</v>
      </c>
      <c r="V63" s="64" t="n">
        <f aca="false">$B18*V$45+$C18*V$46+$D18*V$47+$E18*V$48+$F18*V$49</f>
        <v>0.0429022509194891</v>
      </c>
      <c r="W63" s="64" t="n">
        <f aca="false">$B18*W$45+$C18*W$46+$D18*W$47+$E18*W$48+$F18*W$49</f>
        <v>0.0435045842986914</v>
      </c>
      <c r="X63" s="64" t="n">
        <f aca="false">$B18*X$45+$C18*X$46+$D18*X$47+$E18*X$48+$F18*X$49</f>
        <v>0.0440678988071534</v>
      </c>
      <c r="Y63" s="64" t="n">
        <f aca="false">$B18*Y$45+$C18*Y$46+$D18*Y$47+$E18*Y$48+$F18*Y$49</f>
        <v>0.0445851797281997</v>
      </c>
      <c r="Z63" s="64" t="n">
        <f aca="false">$B18*Z$45+$C18*Z$46+$D18*Z$47+$E18*Z$48+$F18*Z$49</f>
        <v>0.0450485254364602</v>
      </c>
      <c r="AA63" s="64" t="n">
        <f aca="false">$B18*AA$45+$C18*AA$46+$D18*AA$47+$E18*AA$48+$F18*AA$49</f>
        <v>0.0454492220834051</v>
      </c>
      <c r="AB63" s="64" t="n">
        <f aca="false">$B18*AB$45+$C18*AB$46+$D18*AB$47+$E18*AB$48+$F18*AB$49</f>
        <v>0.0457779356073937</v>
      </c>
      <c r="AC63" s="64" t="n">
        <f aca="false">$B18*AC$45+$C18*AC$46+$D18*AC$47+$E18*AC$48+$F18*AC$49</f>
        <v>0.0460250684695276</v>
      </c>
      <c r="AD63" s="64" t="n">
        <f aca="false">$B18*AD$45+$C18*AD$46+$D18*AD$47+$E18*AD$48+$F18*AD$49</f>
        <v>0.0461813304680811</v>
      </c>
      <c r="AE63" s="64" t="n">
        <f aca="false">$B18*AE$45+$C18*AE$46+$D18*AE$47+$E18*AE$48+$F18*AE$49</f>
        <v>0.0462385555169541</v>
      </c>
      <c r="AF63" s="64" t="n">
        <f aca="false">$B18*AF$45+$C18*AF$46+$D18*AF$47+$E18*AF$48+$F18*AF$49</f>
        <v>0.0461907450200777</v>
      </c>
      <c r="AG63" s="64" t="n">
        <f aca="false">$B18*AG$45+$C18*AG$46+$D18*AG$47+$E18*AG$48+$F18*AG$49</f>
        <v>0.046035230347113</v>
      </c>
      <c r="AH63" s="64" t="n">
        <f aca="false">$B18*AH$45+$C18*AH$46+$D18*AH$47+$E18*AH$48+$F18*AH$49</f>
        <v>0.0457737452194866</v>
      </c>
      <c r="AI63" s="64" t="n">
        <f aca="false">$B18*AI$45+$C18*AI$46+$D18*AI$47+$E18*AI$48+$F18*AI$49</f>
        <v>0.0454131332480931</v>
      </c>
      <c r="AJ63" s="64" t="n">
        <f aca="false">$B18*AJ$45+$C18*AJ$46+$D18*AJ$47+$E18*AJ$48+$F18*AJ$49</f>
        <v>0.0449654372131907</v>
      </c>
      <c r="AK63" s="64" t="n">
        <f aca="false">$B18*AK$45+$C18*AK$46+$D18*AK$47+$E18*AK$48+$F18*AK$49</f>
        <v>0.0444472406605949</v>
      </c>
      <c r="AL63" s="64" t="n">
        <f aca="false">$B18*AL$45+$C18*AL$46+$D18*AL$47+$E18*AL$48+$F18*AL$49</f>
        <v>0.0438783221810338</v>
      </c>
      <c r="AM63" s="64" t="n">
        <f aca="false">$B18*AM$45+$C18*AM$46+$D18*AM$47+$E18*AM$48+$F18*AM$49</f>
        <v>0.0432798654346001</v>
      </c>
      <c r="AN63" s="64" t="n">
        <f aca="false">$B18*AN$45+$C18*AN$46+$D18*AN$47+$E18*AN$48+$F18*AN$49</f>
        <v>0.0426725729777928</v>
      </c>
      <c r="AO63" s="64" t="n">
        <f aca="false">$B18*AO$45+$C18*AO$46+$D18*AO$47+$E18*AO$48+$F18*AO$49</f>
        <v>0.0420750258054823</v>
      </c>
      <c r="AP63" s="64" t="n">
        <f aca="false">$B18*AP$45+$C18*AP$46+$D18*AP$47+$E18*AP$48+$F18*AP$49</f>
        <v>0.0415025288311862</v>
      </c>
      <c r="AQ63" s="64" t="n">
        <f aca="false">$B18*AQ$45+$C18*AQ$46+$D18*AQ$47+$E18*AQ$48+$F18*AQ$49</f>
        <v>0.0409665354398335</v>
      </c>
      <c r="AR63" s="64" t="n">
        <f aca="false">$B18*AR$45+$C18*AR$46+$D18*AR$47+$E18*AR$48+$F18*AR$49</f>
        <v>0.0404746077577</v>
      </c>
      <c r="AS63" s="64" t="n">
        <f aca="false">$B18*AS$45+$C18*AS$46+$D18*AS$47+$E18*AS$48+$F18*AS$49</f>
        <v>0.0400307805966816</v>
      </c>
    </row>
    <row r="64" customFormat="false" ht="15" hidden="false" customHeight="true" outlineLevel="0" collapsed="false">
      <c r="I64" s="5" t="s">
        <v>248</v>
      </c>
      <c r="J64" s="64" t="n">
        <f aca="false">$B19*J$45+$C19*J$46+$D19*J$47+$E19*J$48+$F19*J$49</f>
        <v>0.0306630866944912</v>
      </c>
      <c r="K64" s="64" t="n">
        <f aca="false">$B19*K$45+$C19*K$46+$D19*K$47+$E19*K$48+$F19*K$49</f>
        <v>0.0313562281860301</v>
      </c>
      <c r="L64" s="64" t="n">
        <f aca="false">$B19*L$45+$C19*L$46+$D19*L$47+$E19*L$48+$F19*L$49</f>
        <v>0.0320481895577625</v>
      </c>
      <c r="M64" s="64" t="n">
        <f aca="false">$B19*M$45+$C19*M$46+$D19*M$47+$E19*M$48+$F19*M$49</f>
        <v>0.0327377070069906</v>
      </c>
      <c r="N64" s="64" t="n">
        <f aca="false">$B19*N$45+$C19*N$46+$D19*N$47+$E19*N$48+$F19*N$49</f>
        <v>0.0334233927319238</v>
      </c>
      <c r="O64" s="64" t="n">
        <f aca="false">$B19*O$45+$C19*O$46+$D19*O$47+$E19*O$48+$F19*O$49</f>
        <v>0.0341037052571554</v>
      </c>
      <c r="P64" s="64" t="n">
        <f aca="false">$B19*P$45+$C19*P$46+$D19*P$47+$E19*P$48+$F19*P$49</f>
        <v>0.0347769117450992</v>
      </c>
      <c r="Q64" s="64" t="n">
        <f aca="false">$B19*Q$45+$C19*Q$46+$D19*Q$47+$E19*Q$48+$F19*Q$49</f>
        <v>0.0354410410475111</v>
      </c>
      <c r="R64" s="64" t="n">
        <f aca="false">$B19*R$45+$C19*R$46+$D19*R$47+$E19*R$48+$F19*R$49</f>
        <v>0.036093826443454</v>
      </c>
      <c r="S64" s="64" t="n">
        <f aca="false">$B19*S$45+$C19*S$46+$D19*S$47+$E19*S$48+$F19*S$49</f>
        <v>0.0367326374760029</v>
      </c>
      <c r="T64" s="64" t="n">
        <f aca="false">$B19*T$45+$C19*T$46+$D19*T$47+$E19*T$48+$F19*T$49</f>
        <v>0.0373544011793205</v>
      </c>
      <c r="U64" s="64" t="n">
        <f aca="false">$B19*U$45+$C19*U$46+$D19*U$47+$E19*U$48+$F19*U$49</f>
        <v>0.0379555144546129</v>
      </c>
      <c r="V64" s="64" t="n">
        <f aca="false">$B19*V$45+$C19*V$46+$D19*V$47+$E19*V$48+$F19*V$49</f>
        <v>0.0385317516034342</v>
      </c>
      <c r="W64" s="64" t="n">
        <f aca="false">$B19*W$45+$C19*W$46+$D19*W$47+$E19*W$48+$F19*W$49</f>
        <v>0.0390781742461804</v>
      </c>
      <c r="X64" s="64" t="n">
        <f aca="false">$B19*X$45+$C19*X$46+$D19*X$47+$E19*X$48+$F19*X$49</f>
        <v>0.0395890551686581</v>
      </c>
      <c r="Y64" s="64" t="n">
        <f aca="false">$B19*Y$45+$C19*Y$46+$D19*Y$47+$E19*Y$48+$F19*Y$49</f>
        <v>0.0400578330501428</v>
      </c>
      <c r="Z64" s="64" t="n">
        <f aca="false">$B19*Z$45+$C19*Z$46+$D19*Z$47+$E19*Z$48+$F19*Z$49</f>
        <v>0.0404771213288894</v>
      </c>
      <c r="AA64" s="64" t="n">
        <f aca="false">$B19*AA$45+$C19*AA$46+$D19*AA$47+$E19*AA$48+$F19*AA$49</f>
        <v>0.0408388011317055</v>
      </c>
      <c r="AB64" s="64" t="n">
        <f aca="false">$B19*AB$45+$C19*AB$46+$D19*AB$47+$E19*AB$48+$F19*AB$49</f>
        <v>0.0411342340973665</v>
      </c>
      <c r="AC64" s="64" t="n">
        <f aca="false">$B19*AC$45+$C19*AC$46+$D19*AC$47+$E19*AC$48+$F19*AC$49</f>
        <v>0.0413546336087698</v>
      </c>
      <c r="AD64" s="64" t="n">
        <f aca="false">$B19*AD$45+$C19*AD$46+$D19*AD$47+$E19*AD$48+$F19*AD$49</f>
        <v>0.0414916275293471</v>
      </c>
      <c r="AE64" s="64" t="n">
        <f aca="false">$B19*AE$45+$C19*AE$46+$D19*AE$47+$E19*AE$48+$F19*AE$49</f>
        <v>0.041538024216114</v>
      </c>
      <c r="AF64" s="64" t="n">
        <f aca="false">$B19*AF$45+$C19*AF$46+$D19*AF$47+$E19*AF$48+$F19*AF$49</f>
        <v>0.0414887483939034</v>
      </c>
      <c r="AG64" s="64" t="n">
        <f aca="false">$B19*AG$45+$C19*AG$46+$D19*AG$47+$E19*AG$48+$F19*AG$49</f>
        <v>0.0413418442817126</v>
      </c>
      <c r="AH64" s="64" t="n">
        <f aca="false">$B19*AH$45+$C19*AH$46+$D19*AH$47+$E19*AH$48+$F19*AH$49</f>
        <v>0.0410993675519153</v>
      </c>
      <c r="AI64" s="64" t="n">
        <f aca="false">$B19*AI$45+$C19*AI$46+$D19*AI$47+$E19*AI$48+$F19*AI$49</f>
        <v>0.0407679411314558</v>
      </c>
      <c r="AJ64" s="64" t="n">
        <f aca="false">$B19*AJ$45+$C19*AJ$46+$D19*AJ$47+$E19*AJ$48+$F19*AJ$49</f>
        <v>0.0403587707000196</v>
      </c>
      <c r="AK64" s="64" t="n">
        <f aca="false">$B19*AK$45+$C19*AK$46+$D19*AK$47+$E19*AK$48+$F19*AK$49</f>
        <v>0.0398870181099293</v>
      </c>
      <c r="AL64" s="64" t="n">
        <f aca="false">$B19*AL$45+$C19*AL$46+$D19*AL$47+$E19*AL$48+$F19*AL$49</f>
        <v>0.0393705884387936</v>
      </c>
      <c r="AM64" s="64" t="n">
        <f aca="false">$B19*AM$45+$C19*AM$46+$D19*AM$47+$E19*AM$48+$F19*AM$49</f>
        <v>0.0388285407642024</v>
      </c>
      <c r="AN64" s="64" t="n">
        <f aca="false">$B19*AN$45+$C19*AN$46+$D19*AN$47+$E19*AN$48+$F19*AN$49</f>
        <v>0.038279423660774</v>
      </c>
      <c r="AO64" s="64" t="n">
        <f aca="false">$B19*AO$45+$C19*AO$46+$D19*AO$47+$E19*AO$48+$F19*AO$49</f>
        <v>0.0377398325817727</v>
      </c>
      <c r="AP64" s="64" t="n">
        <f aca="false">$B19*AP$45+$C19*AP$46+$D19*AP$47+$E19*AP$48+$F19*AP$49</f>
        <v>0.0372233988078656</v>
      </c>
      <c r="AQ64" s="64" t="n">
        <f aca="false">$B19*AQ$45+$C19*AQ$46+$D19*AQ$47+$E19*AQ$48+$F19*AQ$49</f>
        <v>0.0367402912436832</v>
      </c>
      <c r="AR64" s="64" t="n">
        <f aca="false">$B19*AR$45+$C19*AR$46+$D19*AR$47+$E19*AR$48+$F19*AR$49</f>
        <v>0.0362971922734479</v>
      </c>
      <c r="AS64" s="64" t="n">
        <f aca="false">$B19*AS$45+$C19*AS$46+$D19*AS$47+$E19*AS$48+$F19*AS$49</f>
        <v>0.0358976304822583</v>
      </c>
    </row>
    <row r="65" customFormat="false" ht="15" hidden="false" customHeight="true" outlineLevel="0" collapsed="false">
      <c r="I65" s="5" t="s">
        <v>249</v>
      </c>
      <c r="J65" s="64" t="n">
        <f aca="false">$B20*J$45+$C20*J$46+$D20*J$47+$E20*J$48+$F20*J$49</f>
        <v>0.0200337603599969</v>
      </c>
      <c r="K65" s="64" t="n">
        <f aca="false">$B20*K$45+$C20*K$46+$D20*K$47+$E20*K$48+$F20*K$49</f>
        <v>0.0205022156168808</v>
      </c>
      <c r="L65" s="64" t="n">
        <f aca="false">$B20*L$45+$C20*L$46+$D20*L$47+$E20*L$48+$F20*L$49</f>
        <v>0.0209709398531693</v>
      </c>
      <c r="M65" s="64" t="n">
        <f aca="false">$B20*M$45+$C20*M$46+$D20*M$47+$E20*M$48+$F20*M$49</f>
        <v>0.0214391148873424</v>
      </c>
      <c r="N65" s="64" t="n">
        <f aca="false">$B20*N$45+$C20*N$46+$D20*N$47+$E20*N$48+$F20*N$49</f>
        <v>0.0219058292371005</v>
      </c>
      <c r="O65" s="64" t="n">
        <f aca="false">$B20*O$45+$C20*O$46+$D20*O$47+$E20*O$48+$F20*O$49</f>
        <v>0.0223700539243917</v>
      </c>
      <c r="P65" s="64" t="n">
        <f aca="false">$B20*P$45+$C20*P$46+$D20*P$47+$E20*P$48+$F20*P$49</f>
        <v>0.0228306112995195</v>
      </c>
      <c r="Q65" s="64" t="n">
        <f aca="false">$B20*Q$45+$C20*Q$46+$D20*Q$47+$E20*Q$48+$F20*Q$49</f>
        <v>0.0232861355632492</v>
      </c>
      <c r="R65" s="64" t="n">
        <f aca="false">$B20*R$45+$C20*R$46+$D20*R$47+$E20*R$48+$F20*R$49</f>
        <v>0.0237350237550287</v>
      </c>
      <c r="S65" s="64" t="n">
        <f aca="false">$B20*S$45+$C20*S$46+$D20*S$47+$E20*S$48+$F20*S$49</f>
        <v>0.0241753763473686</v>
      </c>
      <c r="T65" s="64" t="n">
        <f aca="false">$B20*T$45+$C20*T$46+$D20*T$47+$E20*T$48+$F20*T$49</f>
        <v>0.0246049274403319</v>
      </c>
      <c r="U65" s="64" t="n">
        <f aca="false">$B20*U$45+$C20*U$46+$D20*U$47+$E20*U$48+$F20*U$49</f>
        <v>0.0250209661671757</v>
      </c>
      <c r="V65" s="64" t="n">
        <f aca="false">$B20*V$45+$C20*V$46+$D20*V$47+$E20*V$48+$F20*V$49</f>
        <v>0.0254202536552693</v>
      </c>
      <c r="W65" s="64" t="n">
        <f aca="false">$B20*W$45+$C20*W$46+$D20*W$47+$E20*W$48+$F20*W$49</f>
        <v>0.0257989440886475</v>
      </c>
      <c r="X65" s="64" t="n">
        <f aca="false">$B20*X$45+$C20*X$46+$D20*X$47+$E20*X$48+$F20*X$49</f>
        <v>0.0261525242531723</v>
      </c>
      <c r="Y65" s="64" t="n">
        <f aca="false">$B20*Y$45+$C20*Y$46+$D20*Y$47+$E20*Y$48+$F20*Y$49</f>
        <v>0.0264757930159719</v>
      </c>
      <c r="Z65" s="64" t="n">
        <f aca="false">$B20*Z$45+$C20*Z$46+$D20*Z$47+$E20*Z$48+$F20*Z$49</f>
        <v>0.0267629090061769</v>
      </c>
      <c r="AA65" s="64" t="n">
        <f aca="false">$B20*AA$45+$C20*AA$46+$D20*AA$47+$E20*AA$48+$F20*AA$49</f>
        <v>0.0270075382766069</v>
      </c>
      <c r="AB65" s="64" t="n">
        <f aca="false">$B20*AB$45+$C20*AB$46+$D20*AB$47+$E20*AB$48+$F20*AB$49</f>
        <v>0.0272031295672848</v>
      </c>
      <c r="AC65" s="64" t="n">
        <f aca="false">$B20*AC$45+$C20*AC$46+$D20*AC$47+$E20*AC$48+$F20*AC$49</f>
        <v>0.0273433290264963</v>
      </c>
      <c r="AD65" s="64" t="n">
        <f aca="false">$B20*AD$45+$C20*AD$46+$D20*AD$47+$E20*AD$48+$F20*AD$49</f>
        <v>0.0274225187131451</v>
      </c>
      <c r="AE65" s="64" t="n">
        <f aca="false">$B20*AE$45+$C20*AE$46+$D20*AE$47+$E20*AE$48+$F20*AE$49</f>
        <v>0.0274364303135935</v>
      </c>
      <c r="AF65" s="64" t="n">
        <f aca="false">$B20*AF$45+$C20*AF$46+$D20*AF$47+$E20*AF$48+$F20*AF$49</f>
        <v>0.0273827585153805</v>
      </c>
      <c r="AG65" s="64" t="n">
        <f aca="false">$B20*AG$45+$C20*AG$46+$D20*AG$47+$E20*AG$48+$F20*AG$49</f>
        <v>0.0272616860855115</v>
      </c>
      <c r="AH65" s="64" t="n">
        <f aca="false">$B20*AH$45+$C20*AH$46+$D20*AH$47+$E20*AH$48+$F20*AH$49</f>
        <v>0.0270762345492014</v>
      </c>
      <c r="AI65" s="64" t="n">
        <f aca="false">$B20*AI$45+$C20*AI$46+$D20*AI$47+$E20*AI$48+$F20*AI$49</f>
        <v>0.0268323647815438</v>
      </c>
      <c r="AJ65" s="64" t="n">
        <f aca="false">$B20*AJ$45+$C20*AJ$46+$D20*AJ$47+$E20*AJ$48+$F20*AJ$49</f>
        <v>0.0265387711605064</v>
      </c>
      <c r="AK65" s="64" t="n">
        <f aca="false">$B20*AK$45+$C20*AK$46+$D20*AK$47+$E20*AK$48+$F20*AK$49</f>
        <v>0.0262063504579326</v>
      </c>
      <c r="AL65" s="64" t="n">
        <f aca="false">$B20*AL$45+$C20*AL$46+$D20*AL$47+$E20*AL$48+$F20*AL$49</f>
        <v>0.0258473872120732</v>
      </c>
      <c r="AM65" s="64" t="n">
        <f aca="false">$B20*AM$45+$C20*AM$46+$D20*AM$47+$E20*AM$48+$F20*AM$49</f>
        <v>0.0254745667530096</v>
      </c>
      <c r="AN65" s="64" t="n">
        <f aca="false">$B20*AN$45+$C20*AN$46+$D20*AN$47+$E20*AN$48+$F20*AN$49</f>
        <v>0.0250999757097178</v>
      </c>
      <c r="AO65" s="64" t="n">
        <f aca="false">$B20*AO$45+$C20*AO$46+$D20*AO$47+$E20*AO$48+$F20*AO$49</f>
        <v>0.0247342529106441</v>
      </c>
      <c r="AP65" s="64" t="n">
        <f aca="false">$B20*AP$45+$C20*AP$46+$D20*AP$47+$E20*AP$48+$F20*AP$49</f>
        <v>0.0243860087379037</v>
      </c>
      <c r="AQ65" s="64" t="n">
        <f aca="false">$B20*AQ$45+$C20*AQ$46+$D20*AQ$47+$E20*AQ$48+$F20*AQ$49</f>
        <v>0.0240615586552323</v>
      </c>
      <c r="AR65" s="64" t="n">
        <f aca="false">$B20*AR$45+$C20*AR$46+$D20*AR$47+$E20*AR$48+$F20*AR$49</f>
        <v>0.0237649458206917</v>
      </c>
      <c r="AS65" s="64" t="n">
        <f aca="false">$B20*AS$45+$C20*AS$46+$D20*AS$47+$E20*AS$48+$F20*AS$49</f>
        <v>0.0234981801389885</v>
      </c>
    </row>
    <row r="66" customFormat="false" ht="15" hidden="false" customHeight="true" outlineLevel="0" collapsed="false">
      <c r="I66" s="5" t="s">
        <v>250</v>
      </c>
      <c r="J66" s="64" t="n">
        <f aca="false">$B21*J$45+$C21*J$46+$D21*J$47+$E21*J$48+$F21*J$49</f>
        <v>0.0147190971927498</v>
      </c>
      <c r="K66" s="64" t="n">
        <f aca="false">$B21*K$45+$C21*K$46+$D21*K$47+$E21*K$48+$F21*K$49</f>
        <v>0.0150752093323061</v>
      </c>
      <c r="L66" s="64" t="n">
        <f aca="false">$B21*L$45+$C21*L$46+$D21*L$47+$E21*L$48+$F21*L$49</f>
        <v>0.0154323150008726</v>
      </c>
      <c r="M66" s="64" t="n">
        <f aca="false">$B21*M$45+$C21*M$46+$D21*M$47+$E21*M$48+$F21*M$49</f>
        <v>0.0157898188275183</v>
      </c>
      <c r="N66" s="64" t="n">
        <f aca="false">$B21*N$45+$C21*N$46+$D21*N$47+$E21*N$48+$F21*N$49</f>
        <v>0.0161470474896889</v>
      </c>
      <c r="O66" s="64" t="n">
        <f aca="false">$B21*O$45+$C21*O$46+$D21*O$47+$E21*O$48+$F21*O$49</f>
        <v>0.0165032282580099</v>
      </c>
      <c r="P66" s="64" t="n">
        <f aca="false">$B21*P$45+$C21*P$46+$D21*P$47+$E21*P$48+$F21*P$49</f>
        <v>0.0168574610767297</v>
      </c>
      <c r="Q66" s="64" t="n">
        <f aca="false">$B21*Q$45+$C21*Q$46+$D21*Q$47+$E21*Q$48+$F21*Q$49</f>
        <v>0.0172086828211183</v>
      </c>
      <c r="R66" s="64" t="n">
        <f aca="false">$B21*R$45+$C21*R$46+$D21*R$47+$E21*R$48+$F21*R$49</f>
        <v>0.017555622410816</v>
      </c>
      <c r="S66" s="64" t="n">
        <f aca="false">$B21*S$45+$C21*S$46+$D21*S$47+$E21*S$48+$F21*S$49</f>
        <v>0.0178967457830514</v>
      </c>
      <c r="T66" s="64" t="n">
        <f aca="false">$B21*T$45+$C21*T$46+$D21*T$47+$E21*T$48+$F21*T$49</f>
        <v>0.0182301905708375</v>
      </c>
      <c r="U66" s="64" t="n">
        <f aca="false">$B21*U$45+$C21*U$46+$D21*U$47+$E21*U$48+$F21*U$49</f>
        <v>0.0185536920234571</v>
      </c>
      <c r="V66" s="64" t="n">
        <f aca="false">$B21*V$45+$C21*V$46+$D21*V$47+$E21*V$48+$F21*V$49</f>
        <v>0.0188645046811869</v>
      </c>
      <c r="W66" s="64" t="n">
        <f aca="false">$B21*W$45+$C21*W$46+$D21*W$47+$E21*W$48+$F21*W$49</f>
        <v>0.019159329009881</v>
      </c>
      <c r="X66" s="64" t="n">
        <f aca="false">$B21*X$45+$C21*X$46+$D21*X$47+$E21*X$48+$F21*X$49</f>
        <v>0.0194342587954293</v>
      </c>
      <c r="Y66" s="64" t="n">
        <f aca="false">$B21*Y$45+$C21*Y$46+$D21*Y$47+$E21*Y$48+$F21*Y$49</f>
        <v>0.0196847729988864</v>
      </c>
      <c r="Z66" s="64" t="n">
        <f aca="false">$B21*Z$45+$C21*Z$46+$D21*Z$47+$E21*Z$48+$F21*Z$49</f>
        <v>0.0199058028448207</v>
      </c>
      <c r="AA66" s="64" t="n">
        <f aca="false">$B21*AA$45+$C21*AA$46+$D21*AA$47+$E21*AA$48+$F21*AA$49</f>
        <v>0.0200919068490576</v>
      </c>
      <c r="AB66" s="64" t="n">
        <f aca="false">$B21*AB$45+$C21*AB$46+$D21*AB$47+$E21*AB$48+$F21*AB$49</f>
        <v>0.0202375773022439</v>
      </c>
      <c r="AC66" s="64" t="n">
        <f aca="false">$B21*AC$45+$C21*AC$46+$D21*AC$47+$E21*AC$48+$F21*AC$49</f>
        <v>0.0203376767353596</v>
      </c>
      <c r="AD66" s="64" t="n">
        <f aca="false">$B21*AD$45+$C21*AD$46+$D21*AD$47+$E21*AD$48+$F21*AD$49</f>
        <v>0.0203879643050441</v>
      </c>
      <c r="AE66" s="64" t="n">
        <f aca="false">$B21*AE$45+$C21*AE$46+$D21*AE$47+$E21*AE$48+$F21*AE$49</f>
        <v>0.0203856333623333</v>
      </c>
      <c r="AF66" s="64" t="n">
        <f aca="false">$B21*AF$45+$C21*AF$46+$D21*AF$47+$E21*AF$48+$F21*AF$49</f>
        <v>0.0203297635761191</v>
      </c>
      <c r="AG66" s="64" t="n">
        <f aca="false">$B21*AG$45+$C21*AG$46+$D21*AG$47+$E21*AG$48+$F21*AG$49</f>
        <v>0.0202216069874109</v>
      </c>
      <c r="AH66" s="64" t="n">
        <f aca="false">$B21*AH$45+$C21*AH$46+$D21*AH$47+$E21*AH$48+$F21*AH$49</f>
        <v>0.0200646680478445</v>
      </c>
      <c r="AI66" s="64" t="n">
        <f aca="false">$B21*AI$45+$C21*AI$46+$D21*AI$47+$E21*AI$48+$F21*AI$49</f>
        <v>0.0198645766065878</v>
      </c>
      <c r="AJ66" s="64" t="n">
        <f aca="false">$B21*AJ$45+$C21*AJ$46+$D21*AJ$47+$E21*AJ$48+$F21*AJ$49</f>
        <v>0.0196287713907499</v>
      </c>
      <c r="AK66" s="64" t="n">
        <f aca="false">$B21*AK$45+$C21*AK$46+$D21*AK$47+$E21*AK$48+$F21*AK$49</f>
        <v>0.0193660166319343</v>
      </c>
      <c r="AL66" s="64" t="n">
        <f aca="false">$B21*AL$45+$C21*AL$46+$D21*AL$47+$E21*AL$48+$F21*AL$49</f>
        <v>0.019085786598713</v>
      </c>
      <c r="AM66" s="64" t="n">
        <f aca="false">$B21*AM$45+$C21*AM$46+$D21*AM$47+$E21*AM$48+$F21*AM$49</f>
        <v>0.0187975797474132</v>
      </c>
      <c r="AN66" s="64" t="n">
        <f aca="false">$B21*AN$45+$C21*AN$46+$D21*AN$47+$E21*AN$48+$F21*AN$49</f>
        <v>0.0185102517341896</v>
      </c>
      <c r="AO66" s="64" t="n">
        <f aca="false">$B21*AO$45+$C21*AO$46+$D21*AO$47+$E21*AO$48+$F21*AO$49</f>
        <v>0.0182314630750797</v>
      </c>
      <c r="AP66" s="64" t="n">
        <f aca="false">$B21*AP$45+$C21*AP$46+$D21*AP$47+$E21*AP$48+$F21*AP$49</f>
        <v>0.0179673137029228</v>
      </c>
      <c r="AQ66" s="64" t="n">
        <f aca="false">$B21*AQ$45+$C21*AQ$46+$D21*AQ$47+$E21*AQ$48+$F21*AQ$49</f>
        <v>0.0177221923610068</v>
      </c>
      <c r="AR66" s="64" t="n">
        <f aca="false">$B21*AR$45+$C21*AR$46+$D21*AR$47+$E21*AR$48+$F21*AR$49</f>
        <v>0.0174988225943135</v>
      </c>
      <c r="AS66" s="64" t="n">
        <f aca="false">$B21*AS$45+$C21*AS$46+$D21*AS$47+$E21*AS$48+$F21*AS$49</f>
        <v>0.0172984549673536</v>
      </c>
    </row>
    <row r="67" customFormat="false" ht="15" hidden="false" customHeight="true" outlineLevel="0" collapsed="false">
      <c r="I67" s="5" t="s">
        <v>251</v>
      </c>
      <c r="J67" s="64" t="n">
        <f aca="false">$B22*J$45+$C22*J$46+$D22*J$47+$E22*J$48+$F22*J$49</f>
        <v>0.0129475428036674</v>
      </c>
      <c r="K67" s="64" t="n">
        <f aca="false">$B22*K$45+$C22*K$46+$D22*K$47+$E22*K$48+$F22*K$49</f>
        <v>0.0132662072374479</v>
      </c>
      <c r="L67" s="64" t="n">
        <f aca="false">$B22*L$45+$C22*L$46+$D22*L$47+$E22*L$48+$F22*L$49</f>
        <v>0.0135861067167738</v>
      </c>
      <c r="M67" s="64" t="n">
        <f aca="false">$B22*M$45+$C22*M$46+$D22*M$47+$E22*M$48+$F22*M$49</f>
        <v>0.0139067201409103</v>
      </c>
      <c r="N67" s="64" t="n">
        <f aca="false">$B22*N$45+$C22*N$46+$D22*N$47+$E22*N$48+$F22*N$49</f>
        <v>0.014227453573885</v>
      </c>
      <c r="O67" s="64" t="n">
        <f aca="false">$B22*O$45+$C22*O$46+$D22*O$47+$E22*O$48+$F22*O$49</f>
        <v>0.0145476197025493</v>
      </c>
      <c r="P67" s="64" t="n">
        <f aca="false">$B22*P$45+$C22*P$46+$D22*P$47+$E22*P$48+$F22*P$49</f>
        <v>0.0148664110024664</v>
      </c>
      <c r="Q67" s="64" t="n">
        <f aca="false">$B22*Q$45+$C22*Q$46+$D22*Q$47+$E22*Q$48+$F22*Q$49</f>
        <v>0.015182865240408</v>
      </c>
      <c r="R67" s="64" t="n">
        <f aca="false">$B22*R$45+$C22*R$46+$D22*R$47+$E22*R$48+$F22*R$49</f>
        <v>0.0154958219627451</v>
      </c>
      <c r="S67" s="64" t="n">
        <f aca="false">$B22*S$45+$C22*S$46+$D22*S$47+$E22*S$48+$F22*S$49</f>
        <v>0.015803868928279</v>
      </c>
      <c r="T67" s="64" t="n">
        <f aca="false">$B22*T$45+$C22*T$46+$D22*T$47+$E22*T$48+$F22*T$49</f>
        <v>0.0161052782810061</v>
      </c>
      <c r="U67" s="64" t="n">
        <f aca="false">$B22*U$45+$C22*U$46+$D22*U$47+$E22*U$48+$F22*U$49</f>
        <v>0.0163979339755509</v>
      </c>
      <c r="V67" s="64" t="n">
        <f aca="false">$B22*V$45+$C22*V$46+$D22*V$47+$E22*V$48+$F22*V$49</f>
        <v>0.0166792550231594</v>
      </c>
      <c r="W67" s="64" t="n">
        <f aca="false">$B22*W$45+$C22*W$46+$D22*W$47+$E22*W$48+$F22*W$49</f>
        <v>0.0169461239836256</v>
      </c>
      <c r="X67" s="64" t="n">
        <f aca="false">$B22*X$45+$C22*X$46+$D22*X$47+$E22*X$48+$F22*X$49</f>
        <v>0.0171948369761817</v>
      </c>
      <c r="Y67" s="64" t="n">
        <f aca="false">$B22*Y$45+$C22*Y$46+$D22*Y$47+$E22*Y$48+$F22*Y$49</f>
        <v>0.0174210996598579</v>
      </c>
      <c r="Z67" s="64" t="n">
        <f aca="false">$B22*Z$45+$C22*Z$46+$D22*Z$47+$E22*Z$48+$F22*Z$49</f>
        <v>0.0176201007910353</v>
      </c>
      <c r="AA67" s="64" t="n">
        <f aca="false">$B22*AA$45+$C22*AA$46+$D22*AA$47+$E22*AA$48+$F22*AA$49</f>
        <v>0.0177866963732078</v>
      </c>
      <c r="AB67" s="64" t="n">
        <f aca="false">$B22*AB$45+$C22*AB$46+$D22*AB$47+$E22*AB$48+$F22*AB$49</f>
        <v>0.0179157265472303</v>
      </c>
      <c r="AC67" s="64" t="n">
        <f aca="false">$B22*AC$45+$C22*AC$46+$D22*AC$47+$E22*AC$48+$F22*AC$49</f>
        <v>0.0180024593049807</v>
      </c>
      <c r="AD67" s="64" t="n">
        <f aca="false">$B22*AD$45+$C22*AD$46+$D22*AD$47+$E22*AD$48+$F22*AD$49</f>
        <v>0.0180431128356771</v>
      </c>
      <c r="AE67" s="64" t="n">
        <f aca="false">$B22*AE$45+$C22*AE$46+$D22*AE$47+$E22*AE$48+$F22*AE$49</f>
        <v>0.0180353677119133</v>
      </c>
      <c r="AF67" s="64" t="n">
        <f aca="false">$B22*AF$45+$C22*AF$46+$D22*AF$47+$E22*AF$48+$F22*AF$49</f>
        <v>0.0179787652630319</v>
      </c>
      <c r="AG67" s="64" t="n">
        <f aca="false">$B22*AG$45+$C22*AG$46+$D22*AG$47+$E22*AG$48+$F22*AG$49</f>
        <v>0.0178749139547108</v>
      </c>
      <c r="AH67" s="64" t="n">
        <f aca="false">$B22*AH$45+$C22*AH$46+$D22*AH$47+$E22*AH$48+$F22*AH$49</f>
        <v>0.0177274792140589</v>
      </c>
      <c r="AI67" s="64" t="n">
        <f aca="false">$B22*AI$45+$C22*AI$46+$D22*AI$47+$E22*AI$48+$F22*AI$49</f>
        <v>0.0175419805482691</v>
      </c>
      <c r="AJ67" s="64" t="n">
        <f aca="false">$B22*AJ$45+$C22*AJ$46+$D22*AJ$47+$E22*AJ$48+$F22*AJ$49</f>
        <v>0.0173254381341643</v>
      </c>
      <c r="AK67" s="64" t="n">
        <f aca="false">$B22*AK$45+$C22*AK$46+$D22*AK$47+$E22*AK$48+$F22*AK$49</f>
        <v>0.0170859053566015</v>
      </c>
      <c r="AL67" s="64" t="n">
        <f aca="false">$B22*AL$45+$C22*AL$46+$D22*AL$47+$E22*AL$48+$F22*AL$49</f>
        <v>0.016831919727593</v>
      </c>
      <c r="AM67" s="64" t="n">
        <f aca="false">$B22*AM$45+$C22*AM$46+$D22*AM$47+$E22*AM$48+$F22*AM$49</f>
        <v>0.0165719174122144</v>
      </c>
      <c r="AN67" s="64" t="n">
        <f aca="false">$B22*AN$45+$C22*AN$46+$D22*AN$47+$E22*AN$48+$F22*AN$49</f>
        <v>0.0163136770756803</v>
      </c>
      <c r="AO67" s="64" t="n">
        <f aca="false">$B22*AO$45+$C22*AO$46+$D22*AO$47+$E22*AO$48+$F22*AO$49</f>
        <v>0.016063866463225</v>
      </c>
      <c r="AP67" s="64" t="n">
        <f aca="false">$B22*AP$45+$C22*AP$46+$D22*AP$47+$E22*AP$48+$F22*AP$49</f>
        <v>0.0158277486912625</v>
      </c>
      <c r="AQ67" s="64" t="n">
        <f aca="false">$B22*AQ$45+$C22*AQ$46+$D22*AQ$47+$E22*AQ$48+$F22*AQ$49</f>
        <v>0.0156090702629317</v>
      </c>
      <c r="AR67" s="64" t="n">
        <f aca="false">$B22*AR$45+$C22*AR$46+$D22*AR$47+$E22*AR$48+$F22*AR$49</f>
        <v>0.0154101148521875</v>
      </c>
      <c r="AS67" s="64" t="n">
        <f aca="false">$B22*AS$45+$C22*AS$46+$D22*AS$47+$E22*AS$48+$F22*AS$49</f>
        <v>0.0152318799101419</v>
      </c>
    </row>
    <row r="68" customFormat="false" ht="15" hidden="false" customHeight="true" outlineLevel="0" collapsed="false">
      <c r="I68" s="5" t="s">
        <v>252</v>
      </c>
      <c r="J68" s="64" t="n">
        <f aca="false">$B23*J$45+$C23*J$46+$D23*J$47+$E23*J$48+$F23*J$49</f>
        <v>0.0116847098188549</v>
      </c>
      <c r="K68" s="64" t="n">
        <f aca="false">$B23*K$45+$C23*K$46+$D23*K$47+$E23*K$48+$F23*K$49</f>
        <v>0.0119752826173231</v>
      </c>
      <c r="L68" s="64" t="n">
        <f aca="false">$B23*L$45+$C23*L$46+$D23*L$47+$E23*L$48+$F23*L$49</f>
        <v>0.0122670164224821</v>
      </c>
      <c r="M68" s="64" t="n">
        <f aca="false">$B23*M$45+$C23*M$46+$D23*M$47+$E23*M$48+$F23*M$49</f>
        <v>0.0125594356385628</v>
      </c>
      <c r="N68" s="64" t="n">
        <f aca="false">$B23*N$45+$C23*N$46+$D23*N$47+$E23*N$48+$F23*N$49</f>
        <v>0.0128519988928814</v>
      </c>
      <c r="O68" s="64" t="n">
        <f aca="false">$B23*O$45+$C23*O$46+$D23*O$47+$E23*O$48+$F23*O$49</f>
        <v>0.0131440805785073</v>
      </c>
      <c r="P68" s="64" t="n">
        <f aca="false">$B23*P$45+$C23*P$46+$D23*P$47+$E23*P$48+$F23*P$49</f>
        <v>0.0134349467412762</v>
      </c>
      <c r="Q68" s="64" t="n">
        <f aca="false">$B23*Q$45+$C23*Q$46+$D23*Q$47+$E23*Q$48+$F23*Q$49</f>
        <v>0.0137237240816508</v>
      </c>
      <c r="R68" s="64" t="n">
        <f aca="false">$B23*R$45+$C23*R$46+$D23*R$47+$E23*R$48+$F23*R$49</f>
        <v>0.0140093608607786</v>
      </c>
      <c r="S68" s="64" t="n">
        <f aca="false">$B23*S$45+$C23*S$46+$D23*S$47+$E23*S$48+$F23*S$49</f>
        <v>0.0142905787761246</v>
      </c>
      <c r="T68" s="64" t="n">
        <f aca="false">$B23*T$45+$C23*T$46+$D23*T$47+$E23*T$48+$F23*T$49</f>
        <v>0.014565815616908</v>
      </c>
      <c r="U68" s="64" t="n">
        <f aca="false">$B23*U$45+$C23*U$46+$D23*U$47+$E23*U$48+$F23*U$49</f>
        <v>0.0148331600350709</v>
      </c>
      <c r="V68" s="64" t="n">
        <f aca="false">$B23*V$45+$C23*V$46+$D23*V$47+$E23*V$48+$F23*V$49</f>
        <v>0.0150902824778992</v>
      </c>
      <c r="W68" s="64" t="n">
        <f aca="false">$B23*W$45+$C23*W$46+$D23*W$47+$E23*W$48+$F23*W$49</f>
        <v>0.0153343706341148</v>
      </c>
      <c r="X68" s="64" t="n">
        <f aca="false">$B23*X$45+$C23*X$46+$D23*X$47+$E23*X$48+$F23*X$49</f>
        <v>0.0155620838147107</v>
      </c>
      <c r="Y68" s="64" t="n">
        <f aca="false">$B23*Y$45+$C23*Y$46+$D23*Y$47+$E23*Y$48+$F23*Y$49</f>
        <v>0.0157695479495167</v>
      </c>
      <c r="Z68" s="64" t="n">
        <f aca="false">$B23*Z$45+$C23*Z$46+$D23*Z$47+$E23*Z$48+$F23*Z$49</f>
        <v>0.0159524192793437</v>
      </c>
      <c r="AA68" s="64" t="n">
        <f aca="false">$B23*AA$45+$C23*AA$46+$D23*AA$47+$E23*AA$48+$F23*AA$49</f>
        <v>0.0161060462276199</v>
      </c>
      <c r="AB68" s="64" t="n">
        <f aca="false">$B23*AB$45+$C23*AB$46+$D23*AB$47+$E23*AB$48+$F23*AB$49</f>
        <v>0.016225749628683</v>
      </c>
      <c r="AC68" s="64" t="n">
        <f aca="false">$B23*AC$45+$C23*AC$46+$D23*AC$47+$E23*AC$48+$F23*AC$49</f>
        <v>0.016307217111409</v>
      </c>
      <c r="AD68" s="64" t="n">
        <f aca="false">$B23*AD$45+$C23*AD$46+$D23*AD$47+$E23*AD$48+$F23*AD$49</f>
        <v>0.0163469704555422</v>
      </c>
      <c r="AE68" s="64" t="n">
        <f aca="false">$B23*AE$45+$C23*AE$46+$D23*AE$47+$E23*AE$48+$F23*AE$49</f>
        <v>0.0163428287846071</v>
      </c>
      <c r="AF68" s="64" t="n">
        <f aca="false">$B23*AF$45+$C23*AF$46+$D23*AF$47+$E23*AF$48+$F23*AF$49</f>
        <v>0.0162942763270315</v>
      </c>
      <c r="AG68" s="64" t="n">
        <f aca="false">$B23*AG$45+$C23*AG$46+$D23*AG$47+$E23*AG$48+$F23*AG$49</f>
        <v>0.016202663951266</v>
      </c>
      <c r="AH68" s="64" t="n">
        <f aca="false">$B23*AH$45+$C23*AH$46+$D23*AH$47+$E23*AH$48+$F23*AH$49</f>
        <v>0.0160712187050596</v>
      </c>
      <c r="AI68" s="64" t="n">
        <f aca="false">$B23*AI$45+$C23*AI$46+$D23*AI$47+$E23*AI$48+$F23*AI$49</f>
        <v>0.0159048770553981</v>
      </c>
      <c r="AJ68" s="64" t="n">
        <f aca="false">$B23*AJ$45+$C23*AJ$46+$D23*AJ$47+$E23*AJ$48+$F23*AJ$49</f>
        <v>0.0157099745776435</v>
      </c>
      <c r="AK68" s="64" t="n">
        <f aca="false">$B23*AK$45+$C23*AK$46+$D23*AK$47+$E23*AK$48+$F23*AK$49</f>
        <v>0.0154938227374416</v>
      </c>
      <c r="AL68" s="64" t="n">
        <f aca="false">$B23*AL$45+$C23*AL$46+$D23*AL$47+$E23*AL$48+$F23*AL$49</f>
        <v>0.0152642034986534</v>
      </c>
      <c r="AM68" s="64" t="n">
        <f aca="false">$B23*AM$45+$C23*AM$46+$D23*AM$47+$E23*AM$48+$F23*AM$49</f>
        <v>0.0150288265187033</v>
      </c>
      <c r="AN68" s="64" t="n">
        <f aca="false">$B23*AN$45+$C23*AN$46+$D23*AN$47+$E23*AN$48+$F23*AN$49</f>
        <v>0.0147948125933885</v>
      </c>
      <c r="AO68" s="64" t="n">
        <f aca="false">$B23*AO$45+$C23*AO$46+$D23*AO$47+$E23*AO$48+$F23*AO$49</f>
        <v>0.0145682727629646</v>
      </c>
      <c r="AP68" s="64" t="n">
        <f aca="false">$B23*AP$45+$C23*AP$46+$D23*AP$47+$E23*AP$48+$F23*AP$49</f>
        <v>0.0143540358828895</v>
      </c>
      <c r="AQ68" s="64" t="n">
        <f aca="false">$B23*AQ$45+$C23*AQ$46+$D23*AQ$47+$E23*AQ$48+$F23*AQ$49</f>
        <v>0.0141555444018322</v>
      </c>
      <c r="AR68" s="64" t="n">
        <f aca="false">$B23*AR$45+$C23*AR$46+$D23*AR$47+$E23*AR$48+$F23*AR$49</f>
        <v>0.0139749029644125</v>
      </c>
      <c r="AS68" s="64" t="n">
        <f aca="false">$B23*AS$45+$C23*AS$46+$D23*AS$47+$E23*AS$48+$F23*AS$49</f>
        <v>0.0138130398532565</v>
      </c>
    </row>
    <row r="69" customFormat="false" ht="15" hidden="false" customHeight="true" outlineLevel="0" collapsed="false">
      <c r="I69" s="5" t="s">
        <v>253</v>
      </c>
      <c r="J69" s="64" t="n">
        <f aca="false">$B24*J$45+$C24*J$46+$D24*J$47+$E24*J$48+$F24*J$49</f>
        <v>0.0141950768690166</v>
      </c>
      <c r="K69" s="64" t="n">
        <f aca="false">$B24*K$45+$C24*K$46+$D24*K$47+$E24*K$48+$F24*K$49</f>
        <v>0.0143121866833888</v>
      </c>
      <c r="L69" s="64" t="n">
        <f aca="false">$B24*L$45+$C24*L$46+$D24*L$47+$E24*L$48+$F24*L$49</f>
        <v>0.0144304683009802</v>
      </c>
      <c r="M69" s="64" t="n">
        <f aca="false">$B24*M$45+$C24*M$46+$D24*M$47+$E24*M$48+$F24*M$49</f>
        <v>0.0145497528093984</v>
      </c>
      <c r="N69" s="64" t="n">
        <f aca="false">$B24*N$45+$C24*N$46+$D24*N$47+$E24*N$48+$F24*N$49</f>
        <v>0.0146698390844353</v>
      </c>
      <c r="O69" s="64" t="n">
        <f aca="false">$B24*O$45+$C24*O$46+$D24*O$47+$E24*O$48+$F24*O$49</f>
        <v>0.0147904838633419</v>
      </c>
      <c r="P69" s="64" t="n">
        <f aca="false">$B24*P$45+$C24*P$46+$D24*P$47+$E24*P$48+$F24*P$49</f>
        <v>0.0149113885854377</v>
      </c>
      <c r="Q69" s="64" t="n">
        <f aca="false">$B24*Q$45+$C24*Q$46+$D24*Q$47+$E24*Q$48+$F24*Q$49</f>
        <v>0.0150321822101497</v>
      </c>
      <c r="R69" s="64" t="n">
        <f aca="false">$B24*R$45+$C24*R$46+$D24*R$47+$E24*R$48+$F24*R$49</f>
        <v>0.0151523992041807</v>
      </c>
      <c r="S69" s="64" t="n">
        <f aca="false">$B24*S$45+$C24*S$46+$D24*S$47+$E24*S$48+$F24*S$49</f>
        <v>0.0152714520337151</v>
      </c>
      <c r="T69" s="64" t="n">
        <f aca="false">$B24*T$45+$C24*T$46+$D24*T$47+$E24*T$48+$F24*T$49</f>
        <v>0.0153885979531051</v>
      </c>
      <c r="U69" s="64" t="n">
        <f aca="false">$B24*U$45+$C24*U$46+$D24*U$47+$E24*U$48+$F24*U$49</f>
        <v>0.0155029008729552</v>
      </c>
      <c r="V69" s="64" t="n">
        <f aca="false">$B24*V$45+$C24*V$46+$D24*V$47+$E24*V$48+$F24*V$49</f>
        <v>0.0156131909143882</v>
      </c>
      <c r="W69" s="64" t="n">
        <f aca="false">$B24*W$45+$C24*W$46+$D24*W$47+$E24*W$48+$F24*W$49</f>
        <v>0.015718027215693</v>
      </c>
      <c r="X69" s="64" t="n">
        <f aca="false">$B24*X$45+$C24*X$46+$D24*X$47+$E24*X$48+$F24*X$49</f>
        <v>0.0158156737685909</v>
      </c>
      <c r="Y69" s="64" t="n">
        <f aca="false">$B24*Y$45+$C24*Y$46+$D24*Y$47+$E24*Y$48+$F24*Y$49</f>
        <v>0.0159041030562605</v>
      </c>
      <c r="Z69" s="64" t="n">
        <f aca="false">$B24*Z$45+$C24*Z$46+$D24*Z$47+$E24*Z$48+$F24*Z$49</f>
        <v>0.0159810464050286</v>
      </c>
      <c r="AA69" s="64" t="n">
        <f aca="false">$B24*AA$45+$C24*AA$46+$D24*AA$47+$E24*AA$48+$F24*AA$49</f>
        <v>0.0160441099619602</v>
      </c>
      <c r="AB69" s="64" t="n">
        <f aca="false">$B24*AB$45+$C24*AB$46+$D24*AB$47+$E24*AB$48+$F24*AB$49</f>
        <v>0.0160909666003501</v>
      </c>
      <c r="AC69" s="64" t="n">
        <f aca="false">$B24*AC$45+$C24*AC$46+$D24*AC$47+$E24*AC$48+$F24*AC$49</f>
        <v>0.0161196136946339</v>
      </c>
      <c r="AD69" s="64" t="n">
        <f aca="false">$B24*AD$45+$C24*AD$46+$D24*AD$47+$E24*AD$48+$F24*AD$49</f>
        <v>0.0161286574490073</v>
      </c>
      <c r="AE69" s="64" t="n">
        <f aca="false">$B24*AE$45+$C24*AE$46+$D24*AE$47+$E24*AE$48+$F24*AE$49</f>
        <v>0.0161175587767581</v>
      </c>
      <c r="AF69" s="64" t="n">
        <f aca="false">$B24*AF$45+$C24*AF$46+$D24*AF$47+$E24*AF$48+$F24*AF$49</f>
        <v>0.0160867719567675</v>
      </c>
      <c r="AG69" s="64" t="n">
        <f aca="false">$B24*AG$45+$C24*AG$46+$D24*AG$47+$E24*AG$48+$F24*AG$49</f>
        <v>0.0160377359148686</v>
      </c>
      <c r="AH69" s="64" t="n">
        <f aca="false">$B24*AH$45+$C24*AH$46+$D24*AH$47+$E24*AH$48+$F24*AH$49</f>
        <v>0.0159727278123382</v>
      </c>
      <c r="AI69" s="64" t="n">
        <f aca="false">$B24*AI$45+$C24*AI$46+$D24*AI$47+$E24*AI$48+$F24*AI$49</f>
        <v>0.0158946305691077</v>
      </c>
      <c r="AJ69" s="64" t="n">
        <f aca="false">$B24*AJ$45+$C24*AJ$46+$D24*AJ$47+$E24*AJ$48+$F24*AJ$49</f>
        <v>0.0158066763846068</v>
      </c>
      <c r="AK69" s="64" t="n">
        <f aca="false">$B24*AK$45+$C24*AK$46+$D24*AK$47+$E24*AK$48+$F24*AK$49</f>
        <v>0.0157122090411444</v>
      </c>
      <c r="AL69" s="64" t="n">
        <f aca="false">$B24*AL$45+$C24*AL$46+$D24*AL$47+$E24*AL$48+$F24*AL$49</f>
        <v>0.0156144806894988</v>
      </c>
      <c r="AM69" s="64" t="n">
        <f aca="false">$B24*AM$45+$C24*AM$46+$D24*AM$47+$E24*AM$48+$F24*AM$49</f>
        <v>0.0155164835230861</v>
      </c>
      <c r="AN69" s="64" t="n">
        <f aca="false">$B24*AN$45+$C24*AN$46+$D24*AN$47+$E24*AN$48+$F24*AN$49</f>
        <v>0.0154208163072589</v>
      </c>
      <c r="AO69" s="64" t="n">
        <f aca="false">$B24*AO$45+$C24*AO$46+$D24*AO$47+$E24*AO$48+$F24*AO$49</f>
        <v>0.0153295909260373</v>
      </c>
      <c r="AP69" s="64" t="n">
        <f aca="false">$B24*AP$45+$C24*AP$46+$D24*AP$47+$E24*AP$48+$F24*AP$49</f>
        <v>0.0152443855852999</v>
      </c>
      <c r="AQ69" s="64" t="n">
        <f aca="false">$B24*AQ$45+$C24*AQ$46+$D24*AQ$47+$E24*AQ$48+$F24*AQ$49</f>
        <v>0.0151662465318646</v>
      </c>
      <c r="AR69" s="64" t="n">
        <f aca="false">$B24*AR$45+$C24*AR$46+$D24*AR$47+$E24*AR$48+$F24*AR$49</f>
        <v>0.0150957323126206</v>
      </c>
      <c r="AS69" s="64" t="n">
        <f aca="false">$B24*AS$45+$C24*AS$46+$D24*AS$47+$E24*AS$48+$F24*AS$49</f>
        <v>0.0150329881667946</v>
      </c>
    </row>
    <row r="70" customFormat="false" ht="15" hidden="false" customHeight="true" outlineLevel="0" collapsed="false">
      <c r="I70" s="5" t="s">
        <v>254</v>
      </c>
      <c r="J70" s="64" t="n">
        <f aca="false">$B25*J$45+$C25*J$46+$D25*J$47+$E25*J$48+$F25*J$49</f>
        <v>0.0351638798645322</v>
      </c>
      <c r="K70" s="64" t="n">
        <f aca="false">$B25*K$45+$C25*K$46+$D25*K$47+$E25*K$48+$F25*K$49</f>
        <v>0.034828414110687</v>
      </c>
      <c r="L70" s="64" t="n">
        <f aca="false">$B25*L$45+$C25*L$46+$D25*L$47+$E25*L$48+$F25*L$49</f>
        <v>0.0344936660531978</v>
      </c>
      <c r="M70" s="64" t="n">
        <f aca="false">$B25*M$45+$C25*M$46+$D25*M$47+$E25*M$48+$F25*M$49</f>
        <v>0.0341602538919439</v>
      </c>
      <c r="N70" s="64" t="n">
        <f aca="false">$B25*N$45+$C25*N$46+$D25*N$47+$E25*N$48+$F25*N$49</f>
        <v>0.0338288535871166</v>
      </c>
      <c r="O70" s="64" t="n">
        <f aca="false">$B25*O$45+$C25*O$46+$D25*O$47+$E25*O$48+$F25*O$49</f>
        <v>0.0335002122433239</v>
      </c>
      <c r="P70" s="64" t="n">
        <f aca="false">$B25*P$45+$C25*P$46+$D25*P$47+$E25*P$48+$F25*P$49</f>
        <v>0.0331751650243898</v>
      </c>
      <c r="Q70" s="64" t="n">
        <f aca="false">$B25*Q$45+$C25*Q$46+$D25*Q$47+$E25*Q$48+$F25*Q$49</f>
        <v>0.03285465609952</v>
      </c>
      <c r="R70" s="64" t="n">
        <f aca="false">$B25*R$45+$C25*R$46+$D25*R$47+$E25*R$48+$F25*R$49</f>
        <v>0.0325397640213805</v>
      </c>
      <c r="S70" s="64" t="n">
        <f aca="false">$B25*S$45+$C25*S$46+$D25*S$47+$E25*S$48+$F25*S$49</f>
        <v>0.0322317317268079</v>
      </c>
      <c r="T70" s="64" t="n">
        <f aca="false">$B25*T$45+$C25*T$46+$D25*T$47+$E25*T$48+$F25*T$49</f>
        <v>0.0319320009877522</v>
      </c>
      <c r="U70" s="64" t="n">
        <f aca="false">$B25*U$45+$C25*U$46+$D25*U$47+$E25*U$48+$F25*U$49</f>
        <v>0.0316422505768869</v>
      </c>
      <c r="V70" s="64" t="n">
        <f aca="false">$B25*V$45+$C25*V$46+$D25*V$47+$E25*V$48+$F25*V$49</f>
        <v>0.0313644366050165</v>
      </c>
      <c r="W70" s="64" t="n">
        <f aca="false">$B25*W$45+$C25*W$46+$D25*W$47+$E25*W$48+$F25*W$49</f>
        <v>0.0311008323975005</v>
      </c>
      <c r="X70" s="64" t="n">
        <f aca="false">$B25*X$45+$C25*X$46+$D25*X$47+$E25*X$48+$F25*X$49</f>
        <v>0.0308540638593659</v>
      </c>
      <c r="Y70" s="64" t="n">
        <f aca="false">$B25*Y$45+$C25*Y$46+$D25*Y$47+$E25*Y$48+$F25*Y$49</f>
        <v>0.0306271344376703</v>
      </c>
      <c r="Z70" s="64" t="n">
        <f aca="false">$B25*Z$45+$C25*Z$46+$D25*Z$47+$E25*Z$48+$F25*Z$49</f>
        <v>0.0304234313014433</v>
      </c>
      <c r="AA70" s="64" t="n">
        <f aca="false">$B25*AA$45+$C25*AA$46+$D25*AA$47+$E25*AA$48+$F25*AA$49</f>
        <v>0.0302467008409158</v>
      </c>
      <c r="AB70" s="64" t="n">
        <f aca="false">$B25*AB$45+$C25*AB$46+$D25*AB$47+$E25*AB$48+$F25*AB$49</f>
        <v>0.0301009767429884</v>
      </c>
      <c r="AC70" s="64" t="n">
        <f aca="false">$B25*AC$45+$C25*AC$46+$D25*AC$47+$E25*AC$48+$F25*AC$49</f>
        <v>0.0299904383979088</v>
      </c>
      <c r="AD70" s="64" t="n">
        <f aca="false">$B25*AD$45+$C25*AD$46+$D25*AD$47+$E25*AD$48+$F25*AD$49</f>
        <v>0.0299191743900083</v>
      </c>
      <c r="AE70" s="64" t="n">
        <f aca="false">$B25*AE$45+$C25*AE$46+$D25*AE$47+$E25*AE$48+$F25*AE$49</f>
        <v>0.0298908319332184</v>
      </c>
      <c r="AF70" s="64" t="n">
        <f aca="false">$B25*AF$45+$C25*AF$46+$D25*AF$47+$E25*AF$48+$F25*AF$49</f>
        <v>0.0299081561683424</v>
      </c>
      <c r="AG70" s="64" t="n">
        <f aca="false">$B25*AG$45+$C25*AG$46+$D25*AG$47+$E25*AG$48+$F25*AG$49</f>
        <v>0.0299724653238702</v>
      </c>
      <c r="AH70" s="64" t="n">
        <f aca="false">$B25*AH$45+$C25*AH$46+$D25*AH$47+$E25*AH$48+$F25*AH$49</f>
        <v>0.0300831573293143</v>
      </c>
      <c r="AI70" s="64" t="n">
        <f aca="false">$B25*AI$45+$C25*AI$46+$D25*AI$47+$E25*AI$48+$F25*AI$49</f>
        <v>0.0302373758088298</v>
      </c>
      <c r="AJ70" s="64" t="n">
        <f aca="false">$B25*AJ$45+$C25*AJ$46+$D25*AJ$47+$E25*AJ$48+$F25*AJ$49</f>
        <v>0.0304299538477394</v>
      </c>
      <c r="AK70" s="64" t="n">
        <f aca="false">$B25*AK$45+$C25*AK$46+$D25*AK$47+$E25*AK$48+$F25*AK$49</f>
        <v>0.0306536959041037</v>
      </c>
      <c r="AL70" s="64" t="n">
        <f aca="false">$B25*AL$45+$C25*AL$46+$D25*AL$47+$E25*AL$48+$F25*AL$49</f>
        <v>0.0308999704377946</v>
      </c>
      <c r="AM70" s="64" t="n">
        <f aca="false">$B25*AM$45+$C25*AM$46+$D25*AM$47+$E25*AM$48+$F25*AM$49</f>
        <v>0.0311595028155087</v>
      </c>
      <c r="AN70" s="64" t="n">
        <f aca="false">$B25*AN$45+$C25*AN$46+$D25*AN$47+$E25*AN$48+$F25*AN$49</f>
        <v>0.0314232116585947</v>
      </c>
      <c r="AO70" s="64" t="n">
        <f aca="false">$B25*AO$45+$C25*AO$46+$D25*AO$47+$E25*AO$48+$F25*AO$49</f>
        <v>0.0316829358925009</v>
      </c>
      <c r="AP70" s="64" t="n">
        <f aca="false">$B25*AP$45+$C25*AP$46+$D25*AP$47+$E25*AP$48+$F25*AP$49</f>
        <v>0.0319319461457716</v>
      </c>
      <c r="AQ70" s="64" t="n">
        <f aca="false">$B25*AQ$45+$C25*AQ$46+$D25*AQ$47+$E25*AQ$48+$F25*AQ$49</f>
        <v>0.0321651999236756</v>
      </c>
      <c r="AR70" s="64" t="n">
        <f aca="false">$B25*AR$45+$C25*AR$46+$D25*AR$47+$E25*AR$48+$F25*AR$49</f>
        <v>0.0323793603541716</v>
      </c>
      <c r="AS70" s="64" t="n">
        <f aca="false">$B25*AS$45+$C25*AS$46+$D25*AS$47+$E25*AS$48+$F25*AS$49</f>
        <v>0.0325726371658256</v>
      </c>
    </row>
    <row r="71" customFormat="false" ht="15" hidden="false" customHeight="true" outlineLevel="0" collapsed="false">
      <c r="I71" s="5" t="s">
        <v>255</v>
      </c>
      <c r="J71" s="64" t="n">
        <f aca="false">$B26*J$45+$C26*J$46+$D26*J$47+$E26*J$48+$F26*J$49</f>
        <v>0.0572597266063935</v>
      </c>
      <c r="K71" s="64" t="n">
        <f aca="false">$B26*K$45+$C26*K$46+$D26*K$47+$E26*K$48+$F26*K$49</f>
        <v>0.0567328363683345</v>
      </c>
      <c r="L71" s="64" t="n">
        <f aca="false">$B26*L$45+$C26*L$46+$D26*L$47+$E26*L$48+$F26*L$49</f>
        <v>0.0562059644928294</v>
      </c>
      <c r="M71" s="64" t="n">
        <f aca="false">$B26*M$45+$C26*M$46+$D26*M$47+$E26*M$48+$F26*M$49</f>
        <v>0.0556800420378488</v>
      </c>
      <c r="N71" s="64" t="n">
        <f aca="false">$B26*N$45+$C26*N$46+$D26*N$47+$E26*N$48+$F26*N$49</f>
        <v>0.0551561021431618</v>
      </c>
      <c r="O71" s="64" t="n">
        <f aca="false">$B26*O$45+$C26*O$46+$D26*O$47+$E26*O$48+$F26*O$49</f>
        <v>0.0546353059978923</v>
      </c>
      <c r="P71" s="64" t="n">
        <f aca="false">$B26*P$45+$C26*P$46+$D26*P$47+$E26*P$48+$F26*P$49</f>
        <v>0.0541189761890273</v>
      </c>
      <c r="Q71" s="64" t="n">
        <f aca="false">$B26*Q$45+$C26*Q$46+$D26*Q$47+$E26*Q$48+$F26*Q$49</f>
        <v>0.0536086387726139</v>
      </c>
      <c r="R71" s="64" t="n">
        <f aca="false">$B26*R$45+$C26*R$46+$D26*R$47+$E26*R$48+$F26*R$49</f>
        <v>0.0531060752968071</v>
      </c>
      <c r="S71" s="64" t="n">
        <f aca="false">$B26*S$45+$C26*S$46+$D26*S$47+$E26*S$48+$F26*S$49</f>
        <v>0.0526133856047626</v>
      </c>
      <c r="T71" s="64" t="n">
        <f aca="false">$B26*T$45+$C26*T$46+$D26*T$47+$E26*T$48+$F26*T$49</f>
        <v>0.0521330613630584</v>
      </c>
      <c r="U71" s="64" t="n">
        <f aca="false">$B26*U$45+$C26*U$46+$D26*U$47+$E26*U$48+$F26*U$49</f>
        <v>0.05166806863078</v>
      </c>
      <c r="V71" s="64" t="n">
        <f aca="false">$B26*V$45+$C26*V$46+$D26*V$47+$E26*V$48+$F26*V$49</f>
        <v>0.051221935075188</v>
      </c>
      <c r="W71" s="64" t="n">
        <f aca="false">$B26*W$45+$C26*W$46+$D26*W$47+$E26*W$48+$F26*W$49</f>
        <v>0.050798833323166</v>
      </c>
      <c r="X71" s="64" t="n">
        <f aca="false">$B26*X$45+$C26*X$46+$D26*X$47+$E26*X$48+$F26*X$49</f>
        <v>0.0504036462532539</v>
      </c>
      <c r="Y71" s="64" t="n">
        <f aca="false">$B26*Y$45+$C26*Y$46+$D26*Y$47+$E26*Y$48+$F26*Y$49</f>
        <v>0.0500419931075598</v>
      </c>
      <c r="Z71" s="64" t="n">
        <f aca="false">$B26*Z$45+$C26*Z$46+$D26*Z$47+$E26*Z$48+$F26*Z$49</f>
        <v>0.049720188406311</v>
      </c>
      <c r="AA71" s="64" t="n">
        <f aca="false">$B26*AA$45+$C26*AA$46+$D26*AA$47+$E26*AA$48+$F26*AA$49</f>
        <v>0.0494451013974396</v>
      </c>
      <c r="AB71" s="64" t="n">
        <f aca="false">$B26*AB$45+$C26*AB$46+$D26*AB$47+$E26*AB$48+$F26*AB$49</f>
        <v>0.0492238859995294</v>
      </c>
      <c r="AC71" s="64" t="n">
        <f aca="false">$B26*AC$45+$C26*AC$46+$D26*AC$47+$E26*AC$48+$F26*AC$49</f>
        <v>0.0490635636389027</v>
      </c>
      <c r="AD71" s="64" t="n">
        <f aca="false">$B26*AD$45+$C26*AD$46+$D26*AD$47+$E26*AD$48+$F26*AD$49</f>
        <v>0.0489704651663652</v>
      </c>
      <c r="AE71" s="64" t="n">
        <f aca="false">$B26*AE$45+$C26*AE$46+$D26*AE$47+$E26*AE$48+$F26*AE$49</f>
        <v>0.0489495694725399</v>
      </c>
      <c r="AF71" s="64" t="n">
        <f aca="false">$B26*AF$45+$C26*AF$46+$D26*AF$47+$E26*AF$48+$F26*AF$49</f>
        <v>0.049003807846166</v>
      </c>
      <c r="AG71" s="64" t="n">
        <f aca="false">$B26*AG$45+$C26*AG$46+$D26*AG$47+$E26*AG$48+$F26*AG$49</f>
        <v>0.0491334274012455</v>
      </c>
      <c r="AH71" s="64" t="n">
        <f aca="false">$B26*AH$45+$C26*AH$46+$D26*AH$47+$E26*AH$48+$F26*AH$49</f>
        <v>0.0493355207915685</v>
      </c>
      <c r="AI71" s="64" t="n">
        <f aca="false">$B26*AI$45+$C26*AI$46+$D26*AI$47+$E26*AI$48+$F26*AI$49</f>
        <v>0.0496038303191449</v>
      </c>
      <c r="AJ71" s="64" t="n">
        <f aca="false">$B26*AJ$45+$C26*AJ$46+$D26*AJ$47+$E26*AJ$48+$F26*AJ$49</f>
        <v>0.0499289143739622</v>
      </c>
      <c r="AK71" s="64" t="n">
        <f aca="false">$B26*AK$45+$C26*AK$46+$D26*AK$47+$E26*AK$48+$F26*AK$49</f>
        <v>0.0502987124081099</v>
      </c>
      <c r="AL71" s="64" t="n">
        <f aca="false">$B26*AL$45+$C26*AL$46+$D26*AL$47+$E26*AL$48+$F26*AL$49</f>
        <v>0.0506994627247016</v>
      </c>
      <c r="AM71" s="64" t="n">
        <f aca="false">$B26*AM$45+$C26*AM$46+$D26*AM$47+$E26*AM$48+$F26*AM$49</f>
        <v>0.0511168387711027</v>
      </c>
      <c r="AN71" s="64" t="n">
        <f aca="false">$B26*AN$45+$C26*AN$46+$D26*AN$47+$E26*AN$48+$F26*AN$49</f>
        <v>0.0515371110526836</v>
      </c>
      <c r="AO71" s="64" t="n">
        <f aca="false">$B26*AO$45+$C26*AO$46+$D26*AO$47+$E26*AO$48+$F26*AO$49</f>
        <v>0.0519481400236642</v>
      </c>
      <c r="AP71" s="64" t="n">
        <f aca="false">$B26*AP$45+$C26*AP$46+$D26*AP$47+$E26*AP$48+$F26*AP$49</f>
        <v>0.0523400600518275</v>
      </c>
      <c r="AQ71" s="64" t="n">
        <f aca="false">$B26*AQ$45+$C26*AQ$46+$D26*AQ$47+$E26*AQ$48+$F26*AQ$49</f>
        <v>0.052705600261976</v>
      </c>
      <c r="AR71" s="64" t="n">
        <f aca="false">$B26*AR$45+$C26*AR$46+$D26*AR$47+$E26*AR$48+$F26*AR$49</f>
        <v>0.0530400708155401</v>
      </c>
      <c r="AS71" s="64" t="n">
        <f aca="false">$B26*AS$45+$C26*AS$46+$D26*AS$47+$E26*AS$48+$F26*AS$49</f>
        <v>0.0533410983067031</v>
      </c>
    </row>
    <row r="72" customFormat="false" ht="15" hidden="false" customHeight="true" outlineLevel="0" collapsed="false">
      <c r="I72" s="5" t="s">
        <v>256</v>
      </c>
      <c r="J72" s="64" t="n">
        <f aca="false">$B27*J$45+$C27*J$46+$D27*J$47+$E27*J$48+$F27*J$49</f>
        <v>0.0648111859762687</v>
      </c>
      <c r="K72" s="64" t="n">
        <f aca="false">$B27*K$45+$C27*K$46+$D27*K$47+$E27*K$48+$F27*K$49</f>
        <v>0.0642309872443211</v>
      </c>
      <c r="L72" s="64" t="n">
        <f aca="false">$B27*L$45+$C27*L$46+$D27*L$47+$E27*L$48+$F27*L$49</f>
        <v>0.063650884279227</v>
      </c>
      <c r="M72" s="64" t="n">
        <f aca="false">$B27*M$45+$C27*M$46+$D27*M$47+$E27*M$48+$F27*M$49</f>
        <v>0.0630719032793893</v>
      </c>
      <c r="N72" s="64" t="n">
        <f aca="false">$B27*N$45+$C27*N$46+$D27*N$47+$E27*N$48+$F27*N$49</f>
        <v>0.0624951831282982</v>
      </c>
      <c r="O72" s="64" t="n">
        <f aca="false">$B27*O$45+$C27*O$46+$D27*O$47+$E27*O$48+$F27*O$49</f>
        <v>0.0619220041051071</v>
      </c>
      <c r="P72" s="64" t="n">
        <f aca="false">$B27*P$45+$C27*P$46+$D27*P$47+$E27*P$48+$F27*P$49</f>
        <v>0.0613538247450495</v>
      </c>
      <c r="Q72" s="64" t="n">
        <f aca="false">$B27*Q$45+$C27*Q$46+$D27*Q$47+$E27*Q$48+$F27*Q$49</f>
        <v>0.0607923283297331</v>
      </c>
      <c r="R72" s="64" t="n">
        <f aca="false">$B27*R$45+$C27*R$46+$D27*R$47+$E27*R$48+$F27*R$49</f>
        <v>0.0602394803619929</v>
      </c>
      <c r="S72" s="64" t="n">
        <f aca="false">$B27*S$45+$C27*S$46+$D27*S$47+$E27*S$48+$F27*S$49</f>
        <v>0.0596975979344251</v>
      </c>
      <c r="T72" s="64" t="n">
        <f aca="false">$B27*T$45+$C27*T$46+$D27*T$47+$E27*T$48+$F27*T$49</f>
        <v>0.0591694309207481</v>
      </c>
      <c r="U72" s="64" t="n">
        <f aca="false">$B27*U$45+$C27*U$46+$D27*U$47+$E27*U$48+$F27*U$49</f>
        <v>0.0586582531071293</v>
      </c>
      <c r="V72" s="64" t="n">
        <f aca="false">$B27*V$45+$C27*V$46+$D27*V$47+$E27*V$48+$F27*V$49</f>
        <v>0.0581679583681452</v>
      </c>
      <c r="W72" s="64" t="n">
        <f aca="false">$B27*W$45+$C27*W$46+$D27*W$47+$E27*W$48+$F27*W$49</f>
        <v>0.0577031524125731</v>
      </c>
      <c r="X72" s="64" t="n">
        <f aca="false">$B27*X$45+$C27*X$46+$D27*X$47+$E27*X$48+$F27*X$49</f>
        <v>0.057269224301546</v>
      </c>
      <c r="Y72" s="64" t="n">
        <f aca="false">$B27*Y$45+$C27*Y$46+$D27*Y$47+$E27*Y$48+$F27*Y$49</f>
        <v>0.0568723742488248</v>
      </c>
      <c r="Z72" s="64" t="n">
        <f aca="false">$B27*Z$45+$C27*Z$46+$D27*Z$47+$E27*Z$48+$F27*Z$49</f>
        <v>0.0565195665887864</v>
      </c>
      <c r="AA72" s="64" t="n">
        <f aca="false">$B27*AA$45+$C27*AA$46+$D27*AA$47+$E27*AA$48+$F27*AA$49</f>
        <v>0.0562183722001594</v>
      </c>
      <c r="AB72" s="64" t="n">
        <f aca="false">$B27*AB$45+$C27*AB$46+$D27*AB$47+$E27*AB$48+$F27*AB$49</f>
        <v>0.0559766674156857</v>
      </c>
      <c r="AC72" s="64" t="n">
        <f aca="false">$B27*AC$45+$C27*AC$46+$D27*AC$47+$E27*AC$48+$F27*AC$49</f>
        <v>0.0558021706909746</v>
      </c>
      <c r="AD72" s="64" t="n">
        <f aca="false">$B27*AD$45+$C27*AD$46+$D27*AD$47+$E27*AD$48+$F27*AD$49</f>
        <v>0.0557018251516552</v>
      </c>
      <c r="AE72" s="64" t="n">
        <f aca="false">$B27*AE$45+$C27*AE$46+$D27*AE$47+$E27*AE$48+$F27*AE$49</f>
        <v>0.0556810701157162</v>
      </c>
      <c r="AF72" s="64" t="n">
        <f aca="false">$B27*AF$45+$C27*AF$46+$D27*AF$47+$E27*AF$48+$F27*AF$49</f>
        <v>0.0557430788455989</v>
      </c>
      <c r="AG72" s="64" t="n">
        <f aca="false">$B27*AG$45+$C27*AG$46+$D27*AG$47+$E27*AG$48+$F27*AG$49</f>
        <v>0.0558880650830038</v>
      </c>
      <c r="AH72" s="64" t="n">
        <f aca="false">$B27*AH$45+$C27*AH$46+$D27*AH$47+$E27*AH$48+$F27*AH$49</f>
        <v>0.0561127743746714</v>
      </c>
      <c r="AI72" s="64" t="n">
        <f aca="false">$B27*AI$45+$C27*AI$46+$D27*AI$47+$E27*AI$48+$F27*AI$49</f>
        <v>0.0564102760992975</v>
      </c>
      <c r="AJ72" s="64" t="n">
        <f aca="false">$B27*AJ$45+$C27*AJ$46+$D27*AJ$47+$E27*AJ$48+$F27*AJ$49</f>
        <v>0.0567701504348498</v>
      </c>
      <c r="AK72" s="64" t="n">
        <f aca="false">$B27*AK$45+$C27*AK$46+$D27*AK$47+$E27*AK$48+$F27*AK$49</f>
        <v>0.0571791094205046</v>
      </c>
      <c r="AL72" s="64" t="n">
        <f aca="false">$B27*AL$45+$C27*AL$46+$D27*AL$47+$E27*AL$48+$F27*AL$49</f>
        <v>0.0576220030845064</v>
      </c>
      <c r="AM72" s="64" t="n">
        <f aca="false">$B27*AM$45+$C27*AM$46+$D27*AM$47+$E27*AM$48+$F27*AM$49</f>
        <v>0.0580830650844356</v>
      </c>
      <c r="AN72" s="64" t="n">
        <f aca="false">$B27*AN$45+$C27*AN$46+$D27*AN$47+$E27*AN$48+$F27*AN$49</f>
        <v>0.0585471875373717</v>
      </c>
      <c r="AO72" s="64" t="n">
        <f aca="false">$B27*AO$45+$C27*AO$46+$D27*AO$47+$E27*AO$48+$F27*AO$49</f>
        <v>0.0590010117275218</v>
      </c>
      <c r="AP72" s="64" t="n">
        <f aca="false">$B27*AP$45+$C27*AP$46+$D27*AP$47+$E27*AP$48+$F27*AP$49</f>
        <v>0.0594336805782601</v>
      </c>
      <c r="AQ72" s="64" t="n">
        <f aca="false">$B27*AQ$45+$C27*AQ$46+$D27*AQ$47+$E27*AQ$48+$F27*AQ$49</f>
        <v>0.0598371925286149</v>
      </c>
      <c r="AR72" s="64" t="n">
        <f aca="false">$B27*AR$45+$C27*AR$46+$D27*AR$47+$E27*AR$48+$F27*AR$49</f>
        <v>0.0602063874706438</v>
      </c>
      <c r="AS72" s="64" t="n">
        <f aca="false">$B27*AS$45+$C27*AS$46+$D27*AS$47+$E27*AS$48+$F27*AS$49</f>
        <v>0.0605386563198295</v>
      </c>
    </row>
    <row r="73" customFormat="false" ht="15" hidden="false" customHeight="true" outlineLevel="0" collapsed="false">
      <c r="I73" s="5" t="s">
        <v>257</v>
      </c>
      <c r="J73" s="64" t="n">
        <f aca="false">$B28*J$45+$C28*J$46+$D28*J$47+$E28*J$48+$F28*J$49</f>
        <v>0.0598805704070941</v>
      </c>
      <c r="K73" s="64" t="n">
        <f aca="false">$B28*K$45+$C28*K$46+$D28*K$47+$E28*K$48+$F28*K$49</f>
        <v>0.05942127718949</v>
      </c>
      <c r="L73" s="64" t="n">
        <f aca="false">$B28*L$45+$C28*L$46+$D28*L$47+$E28*L$48+$F28*L$49</f>
        <v>0.0589621526941593</v>
      </c>
      <c r="M73" s="64" t="n">
        <f aca="false">$B28*M$45+$C28*M$46+$D28*M$47+$E28*M$48+$F28*M$49</f>
        <v>0.0585040104642889</v>
      </c>
      <c r="N73" s="64" t="n">
        <f aca="false">$B28*N$45+$C28*N$46+$D28*N$47+$E28*N$48+$F28*N$49</f>
        <v>0.0580477535640822</v>
      </c>
      <c r="O73" s="64" t="n">
        <f aca="false">$B28*O$45+$C28*O$46+$D28*O$47+$E28*O$48+$F28*O$49</f>
        <v>0.0575943974399962</v>
      </c>
      <c r="P73" s="64" t="n">
        <f aca="false">$B28*P$45+$C28*P$46+$D28*P$47+$E28*P$48+$F28*P$49</f>
        <v>0.0571450992578457</v>
      </c>
      <c r="Q73" s="64" t="n">
        <f aca="false">$B28*Q$45+$C28*Q$46+$D28*Q$47+$E28*Q$48+$F28*Q$49</f>
        <v>0.0567011948897463</v>
      </c>
      <c r="R73" s="64" t="n">
        <f aca="false">$B28*R$45+$C28*R$46+$D28*R$47+$E28*R$48+$F28*R$49</f>
        <v>0.0562642446238846</v>
      </c>
      <c r="S73" s="64" t="n">
        <f aca="false">$B28*S$45+$C28*S$46+$D28*S$47+$E28*S$48+$F28*S$49</f>
        <v>0.0558360883128956</v>
      </c>
      <c r="T73" s="64" t="n">
        <f aca="false">$B28*T$45+$C28*T$46+$D28*T$47+$E28*T$48+$F28*T$49</f>
        <v>0.0554189098910963</v>
      </c>
      <c r="U73" s="64" t="n">
        <f aca="false">$B28*U$45+$C28*U$46+$D28*U$47+$E28*U$48+$F28*U$49</f>
        <v>0.0550153097374664</v>
      </c>
      <c r="V73" s="64" t="n">
        <f aca="false">$B28*V$45+$C28*V$46+$D28*V$47+$E28*V$48+$F28*V$49</f>
        <v>0.0546283809431515</v>
      </c>
      <c r="W73" s="64" t="n">
        <f aca="false">$B28*W$45+$C28*W$46+$D28*W$47+$E28*W$48+$F28*W$49</f>
        <v>0.0542617818643306</v>
      </c>
      <c r="X73" s="64" t="n">
        <f aca="false">$B28*X$45+$C28*X$46+$D28*X$47+$E28*X$48+$F28*X$49</f>
        <v>0.0539197922642863</v>
      </c>
      <c r="Y73" s="64" t="n">
        <f aca="false">$B28*Y$45+$C28*Y$46+$D28*Y$47+$E28*Y$48+$F28*Y$49</f>
        <v>0.0536073341835746</v>
      </c>
      <c r="Z73" s="64" t="n">
        <f aca="false">$B28*Z$45+$C28*Z$46+$D28*Z$47+$E28*Z$48+$F28*Z$49</f>
        <v>0.0533299326096034</v>
      </c>
      <c r="AA73" s="64" t="n">
        <f aca="false">$B28*AA$45+$C28*AA$46+$D28*AA$47+$E28*AA$48+$F28*AA$49</f>
        <v>0.0530935874760094</v>
      </c>
      <c r="AB73" s="64" t="n">
        <f aca="false">$B28*AB$45+$C28*AB$46+$D28*AB$47+$E28*AB$48+$F28*AB$49</f>
        <v>0.0529045310321958</v>
      </c>
      <c r="AC73" s="64" t="n">
        <f aca="false">$B28*AC$45+$C28*AC$46+$D28*AC$47+$E28*AC$48+$F28*AC$49</f>
        <v>0.0527688565263306</v>
      </c>
      <c r="AD73" s="64" t="n">
        <f aca="false">$B28*AD$45+$C28*AD$46+$D28*AD$47+$E28*AD$48+$F28*AD$49</f>
        <v>0.0526920261514022</v>
      </c>
      <c r="AE73" s="64" t="n">
        <f aca="false">$B28*AE$45+$C28*AE$46+$D28*AE$47+$E28*AE$48+$F28*AE$49</f>
        <v>0.0526782943046512</v>
      </c>
      <c r="AF73" s="64" t="n">
        <f aca="false">$B28*AF$45+$C28*AF$46+$D28*AF$47+$E28*AF$48+$F28*AF$49</f>
        <v>0.0527301087153123</v>
      </c>
      <c r="AG73" s="64" t="n">
        <f aca="false">$B28*AG$45+$C28*AG$46+$D28*AG$47+$E28*AG$48+$F28*AG$49</f>
        <v>0.0528475703345923</v>
      </c>
      <c r="AH73" s="64" t="n">
        <f aca="false">$B28*AH$45+$C28*AH$46+$D28*AH$47+$E28*AH$48+$F28*AH$49</f>
        <v>0.0530280413869869</v>
      </c>
      <c r="AI73" s="64" t="n">
        <f aca="false">$B28*AI$45+$C28*AI$46+$D28*AI$47+$E28*AI$48+$F28*AI$49</f>
        <v>0.0532659896679486</v>
      </c>
      <c r="AJ73" s="64" t="n">
        <f aca="false">$B28*AJ$45+$C28*AJ$46+$D28*AJ$47+$E28*AJ$48+$F28*AJ$49</f>
        <v>0.0535531406770631</v>
      </c>
      <c r="AK73" s="64" t="n">
        <f aca="false">$B28*AK$45+$C28*AK$46+$D28*AK$47+$E28*AK$48+$F28*AK$49</f>
        <v>0.0538789677977579</v>
      </c>
      <c r="AL73" s="64" t="n">
        <f aca="false">$B28*AL$45+$C28*AL$46+$D28*AL$47+$E28*AL$48+$F28*AL$49</f>
        <v>0.0542314833089231</v>
      </c>
      <c r="AM73" s="64" t="n">
        <f aca="false">$B28*AM$45+$C28*AM$46+$D28*AM$47+$E28*AM$48+$F28*AM$49</f>
        <v>0.054598217794212</v>
      </c>
      <c r="AN73" s="64" t="n">
        <f aca="false">$B28*AN$45+$C28*AN$46+$D28*AN$47+$E28*AN$48+$F28*AN$49</f>
        <v>0.0549672238976501</v>
      </c>
      <c r="AO73" s="64" t="n">
        <f aca="false">$B28*AO$45+$C28*AO$46+$D28*AO$47+$E28*AO$48+$F28*AO$49</f>
        <v>0.0553279367444437</v>
      </c>
      <c r="AP73" s="64" t="n">
        <f aca="false">$B28*AP$45+$C28*AP$46+$D28*AP$47+$E28*AP$48+$F28*AP$49</f>
        <v>0.0556717689265254</v>
      </c>
      <c r="AQ73" s="64" t="n">
        <f aca="false">$B28*AQ$45+$C28*AQ$46+$D28*AQ$47+$E28*AQ$48+$F28*AQ$49</f>
        <v>0.0559923914334072</v>
      </c>
      <c r="AR73" s="64" t="n">
        <f aca="false">$B28*AR$45+$C28*AR$46+$D28*AR$47+$E28*AR$48+$F28*AR$49</f>
        <v>0.0562857238431384</v>
      </c>
      <c r="AS73" s="64" t="n">
        <f aca="false">$B28*AS$45+$C28*AS$46+$D28*AS$47+$E28*AS$48+$F28*AS$49</f>
        <v>0.0565497055786942</v>
      </c>
    </row>
    <row r="75" customFormat="false" ht="15" hidden="false" customHeight="true" outlineLevel="0" collapsed="false">
      <c r="I75" s="5" t="s">
        <v>258</v>
      </c>
      <c r="J75" s="67" t="n">
        <f aca="false">AVERAGE(J50:J73)/MAX(J50:J73)</f>
        <v>0.558007297605927</v>
      </c>
      <c r="K75" s="67" t="n">
        <f aca="false">AVERAGE(K50:K73)/MAX(K50:K73)</f>
        <v>0.564218470857519</v>
      </c>
      <c r="L75" s="67" t="n">
        <f aca="false">AVERAGE(L50:L73)/MAX(L50:L73)</f>
        <v>0.570569848501833</v>
      </c>
      <c r="M75" s="67" t="n">
        <f aca="false">AVERAGE(M50:M73)/MAX(M50:M73)</f>
        <v>0.577054631584107</v>
      </c>
      <c r="N75" s="67" t="n">
        <f aca="false">AVERAGE(N50:N73)/MAX(N50:N73)</f>
        <v>0.58366387089436</v>
      </c>
      <c r="O75" s="67" t="n">
        <f aca="false">AVERAGE(O50:O73)/MAX(O50:O73)</f>
        <v>0.590385904644034</v>
      </c>
      <c r="P75" s="67" t="n">
        <f aca="false">AVERAGE(P50:P73)/MAX(P50:P73)</f>
        <v>0.597205637131429</v>
      </c>
      <c r="Q75" s="67" t="n">
        <f aca="false">AVERAGE(Q50:Q73)/MAX(Q50:Q73)</f>
        <v>0.604103622530966</v>
      </c>
      <c r="R75" s="67" t="n">
        <f aca="false">AVERAGE(R50:R73)/MAX(R50:R73)</f>
        <v>0.611054917173015</v>
      </c>
      <c r="S75" s="67" t="n">
        <f aca="false">AVERAGE(S50:S73)/MAX(S50:S73)</f>
        <v>0.618027668957947</v>
      </c>
      <c r="T75" s="67" t="n">
        <f aca="false">AVERAGE(T50:T73)/MAX(T50:T73)</f>
        <v>0.624981428794718</v>
      </c>
      <c r="U75" s="67" t="n">
        <f aca="false">AVERAGE(U50:U73)/MAX(U50:U73)</f>
        <v>0.631865203379558</v>
      </c>
      <c r="V75" s="67" t="n">
        <f aca="false">AVERAGE(V50:V73)/MAX(V50:V73)</f>
        <v>0.638615330725457</v>
      </c>
      <c r="W75" s="67" t="n">
        <f aca="false">AVERAGE(W50:W73)/MAX(W50:W73)</f>
        <v>0.645153360045202</v>
      </c>
      <c r="X75" s="67" t="n">
        <f aca="false">AVERAGE(X50:X73)/MAX(X50:X73)</f>
        <v>0.651384263103055</v>
      </c>
      <c r="Y75" s="67" t="n">
        <f aca="false">AVERAGE(Y50:Y73)/MAX(Y50:Y73)</f>
        <v>0.657195490352338</v>
      </c>
      <c r="Z75" s="67" t="n">
        <f aca="false">AVERAGE(Z50:Z73)/MAX(Z50:Z73)</f>
        <v>0.662457581930046</v>
      </c>
      <c r="AA75" s="67" t="n">
        <f aca="false">AVERAGE(AA50:AA73)/MAX(AA50:AA73)</f>
        <v>0.667027180718833</v>
      </c>
      <c r="AB75" s="67" t="n">
        <f aca="false">AVERAGE(AB50:AB73)/MAX(AB50:AB73)</f>
        <v>0.670753259522626</v>
      </c>
      <c r="AC75" s="67" t="n">
        <f aca="false">AVERAGE(AC50:AC73)/MAX(AC50:AC73)</f>
        <v>0.673487041608322</v>
      </c>
      <c r="AD75" s="67" t="n">
        <f aca="false">AVERAGE(AD50:AD73)/MAX(AD50:AD73)</f>
        <v>0.675095398616496</v>
      </c>
      <c r="AE75" s="67" t="n">
        <f aca="false">AVERAGE(AE50:AE73)/MAX(AE50:AE73)</f>
        <v>0.675476534872881</v>
      </c>
      <c r="AF75" s="67" t="n">
        <f aca="false">AVERAGE(AF50:AF73)/MAX(AF50:AF73)</f>
        <v>0.674575768136875</v>
      </c>
      <c r="AG75" s="67" t="n">
        <f aca="false">AVERAGE(AG50:AG73)/MAX(AG50:AG73)</f>
        <v>0.672398532928541</v>
      </c>
      <c r="AH75" s="67" t="n">
        <f aca="false">AVERAGE(AH50:AH73)/MAX(AH50:AH73)</f>
        <v>0.669017643257843</v>
      </c>
      <c r="AI75" s="67" t="n">
        <f aca="false">AVERAGE(AI50:AI73)/MAX(AI50:AI73)</f>
        <v>0.664572503966409</v>
      </c>
      <c r="AJ75" s="67" t="n">
        <f aca="false">AVERAGE(AJ50:AJ73)/MAX(AJ50:AJ73)</f>
        <v>0.659259361165796</v>
      </c>
      <c r="AK75" s="67" t="n">
        <f aca="false">AVERAGE(AK50:AK73)/MAX(AK50:AK73)</f>
        <v>0.653313625330312</v>
      </c>
      <c r="AL75" s="67" t="n">
        <f aca="false">AVERAGE(AL50:AL73)/MAX(AL50:AL73)</f>
        <v>0.64698725493467</v>
      </c>
      <c r="AM75" s="67" t="n">
        <f aca="false">AVERAGE(AM50:AM73)/MAX(AM50:AM73)</f>
        <v>0.640525412624231</v>
      </c>
      <c r="AN75" s="67" t="n">
        <f aca="false">AVERAGE(AN50:AN73)/MAX(AN50:AN73)</f>
        <v>0.63414655984266</v>
      </c>
      <c r="AO75" s="67" t="n">
        <f aca="false">AVERAGE(AO50:AO73)/MAX(AO50:AO73)</f>
        <v>0.628028882489714</v>
      </c>
      <c r="AP75" s="67" t="n">
        <f aca="false">AVERAGE(AP50:AP73)/MAX(AP50:AP73)</f>
        <v>0.622304044446067</v>
      </c>
      <c r="AQ75" s="67" t="n">
        <f aca="false">AVERAGE(AQ50:AQ73)/MAX(AQ50:AQ73)</f>
        <v>0.617057519530576</v>
      </c>
      <c r="AR75" s="67" t="n">
        <f aca="false">AVERAGE(AR50:AR73)/MAX(AR50:AR73)</f>
        <v>0.612333675794349</v>
      </c>
      <c r="AS75" s="67" t="n">
        <f aca="false">AVERAGE(AS50:AS73)/MAX(AS50:AS73)</f>
        <v>0.608143486972413</v>
      </c>
    </row>
  </sheetData>
  <mergeCells count="2">
    <mergeCell ref="A2:H2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259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projections'!C33*1000000</f>
        <v>15937595.5804739</v>
      </c>
      <c r="C4" s="41" t="n">
        <f aca="false">'Fleet projections'!C91*1000000*'EV adoption'!B19</f>
        <v>17511.9488919311</v>
      </c>
      <c r="D4" s="41" t="n">
        <f aca="false">'Fleet projections'!D91*1000000*'EV adoption'!C19</f>
        <v>19400.2125710976</v>
      </c>
      <c r="E4" s="41" t="n">
        <f aca="false">'Fleet projections'!E91*1000000*'EV adoption'!D19</f>
        <v>5825.29921713691</v>
      </c>
      <c r="F4" s="41" t="n">
        <f aca="false">'Fleet projections'!F91*1000000*'EV adoption'!E19</f>
        <v>3075.09837470958</v>
      </c>
      <c r="G4" s="41" t="n">
        <f aca="false">'Fleet projections'!G91*1000000*'EV adoption'!F19</f>
        <v>68.3047561718903</v>
      </c>
      <c r="H4" s="41" t="n">
        <f aca="false">'Fleet projections'!H91*1000000*'EV adoption'!G19</f>
        <v>50.4672646339693</v>
      </c>
      <c r="I4" s="41" t="n">
        <f aca="false">SUM(C4:H4)</f>
        <v>45931.331075681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0.305640585525272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0.211273290613652</v>
      </c>
      <c r="L4" s="41" t="n">
        <f aca="false">((D4*Assumptions!$D$7+E4*Assumptions!$D$8)*Assumptions!$B$51+C4*Assumptions!$D$6*Assumptions!$B$56)/Assumptions!$B$52</f>
        <v>15411.3468014716</v>
      </c>
      <c r="M4" s="41" t="n">
        <f aca="false">(D4*Assumptions!$D$7+E4*Assumptions!$D$8)*(1-Assumptions!$B$51)/Assumptions!$B$26</f>
        <v>2376.91869839502</v>
      </c>
      <c r="N4" s="41" t="n">
        <f aca="false">(D4*(1-Assumptions!$D$7)+E4*(1-Assumptions!$D$8))/Assumptions!$B$27</f>
        <v>1309.81974955453</v>
      </c>
      <c r="O4" s="41" t="n">
        <f aca="false">(D4+E4)/Assumptions!$B$28</f>
        <v>420.425196470574</v>
      </c>
      <c r="P4" s="41" t="n">
        <f aca="false">(F4+G4+H4)/Assumptions!$B$29</f>
        <v>1277.54815820617</v>
      </c>
      <c r="Q4" s="41" t="n">
        <f aca="false">C4*(1-Assumptions!$D$6)/Assumptions!$B$30</f>
        <v>35.0238977838622</v>
      </c>
      <c r="R4" s="42" t="n">
        <f aca="false">(L4*Assumptions!$B$53+M4*Assumptions!$B$35+N4*Assumptions!$B$36+O4*Assumptions!$B$37+P4*Assumptions!$B$38+Q4*Assumptions!$B$39)/1000000000</f>
        <v>0.157824999508195</v>
      </c>
      <c r="S4" s="42" t="n">
        <f aca="false">K4*1000000*Assumptions!$B$43/1000000000</f>
        <v>0.0950729807761434</v>
      </c>
      <c r="T4" s="42" t="n">
        <f aca="false">R4+S4</f>
        <v>0.252897980284338</v>
      </c>
      <c r="U4" s="42" t="n">
        <f aca="false">J4*Assumptions!$B$59*1000/8760/'Load profile'!J75</f>
        <v>0.0750323043072359</v>
      </c>
      <c r="V4" s="42" t="n">
        <f aca="false">(D4+E4)*Assumptions!$B$64*Assumptions!$B$65*Assumptions!$B$66/1000000</f>
        <v>0.00529735747552924</v>
      </c>
    </row>
    <row r="5" customFormat="false" ht="15" hidden="false" customHeight="true" outlineLevel="0" collapsed="false">
      <c r="A5" s="5" t="n">
        <v>2026</v>
      </c>
      <c r="B5" s="41" t="n">
        <f aca="false">'Fleet projections'!C34*1000000</f>
        <v>17019503.94617</v>
      </c>
      <c r="C5" s="41" t="n">
        <f aca="false">'Fleet projections'!C92*1000000*'EV adoption'!B20</f>
        <v>24696.7651557794</v>
      </c>
      <c r="D5" s="41" t="n">
        <f aca="false">'Fleet projections'!D92*1000000*'EV adoption'!C20</f>
        <v>26687.8145264946</v>
      </c>
      <c r="E5" s="41" t="n">
        <f aca="false">'Fleet projections'!E92*1000000*'EV adoption'!D20</f>
        <v>7773.80290090788</v>
      </c>
      <c r="F5" s="41" t="n">
        <f aca="false">'Fleet projections'!F92*1000000*'EV adoption'!E20</f>
        <v>4011.77800131385</v>
      </c>
      <c r="G5" s="41" t="n">
        <f aca="false">'Fleet projections'!G92*1000000*'EV adoption'!F20</f>
        <v>91.9471740239516</v>
      </c>
      <c r="H5" s="41" t="n">
        <f aca="false">'Fleet projections'!H92*1000000*'EV adoption'!G20</f>
        <v>67.0878526017938</v>
      </c>
      <c r="I5" s="41" t="n">
        <f aca="false">SUM(C5:H5)</f>
        <v>63329.1956111214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0.408999765345887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0.278620219524527</v>
      </c>
      <c r="L5" s="41" t="n">
        <f aca="false">((D5*Assumptions!$D$7+E5*Assumptions!$D$8)*Assumptions!$B$51+C5*Assumptions!$D$6*Assumptions!$B$56)/Assumptions!$B$52</f>
        <v>21453.4692544988</v>
      </c>
      <c r="M5" s="41" t="n">
        <f aca="false">(D5*Assumptions!$D$7+E5*Assumptions!$D$8)*(1-Assumptions!$B$51)/Assumptions!$B$26</f>
        <v>3251.81667021755</v>
      </c>
      <c r="N5" s="41" t="n">
        <f aca="false">(D5*(1-Assumptions!$D$7)+E5*(1-Assumptions!$D$8))/Assumptions!$B$27</f>
        <v>1787.86256221102</v>
      </c>
      <c r="O5" s="41" t="n">
        <f aca="false">(D5+E5)/Assumptions!$B$28</f>
        <v>574.360290456707</v>
      </c>
      <c r="P5" s="41" t="n">
        <f aca="false">(F5+G5+H5)/Assumptions!$B$29</f>
        <v>1668.32521117584</v>
      </c>
      <c r="Q5" s="41" t="n">
        <f aca="false">C5*(1-Assumptions!$D$6)/Assumptions!$B$30</f>
        <v>49.3935303115587</v>
      </c>
      <c r="R5" s="42" t="n">
        <f aca="false">(L5*Assumptions!$B$53+M5*Assumptions!$B$35+N5*Assumptions!$B$36+O5*Assumptions!$B$37+P5*Assumptions!$B$38+Q5*Assumptions!$B$39)/1000000000</f>
        <v>0.209686857482497</v>
      </c>
      <c r="S5" s="42" t="n">
        <f aca="false">K5*1000000*Assumptions!$B$43/1000000000</f>
        <v>0.125379098786037</v>
      </c>
      <c r="T5" s="42" t="n">
        <f aca="false">R5+S5</f>
        <v>0.335065956268534</v>
      </c>
      <c r="U5" s="42" t="n">
        <f aca="false">J5*Assumptions!$B$59*1000/8760/'Load profile'!K75</f>
        <v>0.0993008347116367</v>
      </c>
      <c r="V5" s="42" t="n">
        <f aca="false">(D5+E5)*Assumptions!$B$64*Assumptions!$B$65*Assumptions!$B$66/1000000</f>
        <v>0.00723693965975451</v>
      </c>
    </row>
    <row r="6" customFormat="false" ht="15" hidden="false" customHeight="true" outlineLevel="0" collapsed="false">
      <c r="A6" s="5" t="n">
        <v>2027</v>
      </c>
      <c r="B6" s="41" t="n">
        <f aca="false">'Fleet projections'!C35*1000000</f>
        <v>18174856.6219475</v>
      </c>
      <c r="C6" s="41" t="n">
        <f aca="false">'Fleet projections'!C93*1000000*'EV adoption'!B21</f>
        <v>34819.4381439718</v>
      </c>
      <c r="D6" s="41" t="n">
        <f aca="false">'Fleet projections'!D93*1000000*'EV adoption'!C21</f>
        <v>36704.975880924</v>
      </c>
      <c r="E6" s="41" t="n">
        <f aca="false">'Fleet projections'!E93*1000000*'EV adoption'!D21</f>
        <v>10371.1370621498</v>
      </c>
      <c r="F6" s="41" t="n">
        <f aca="false">'Fleet projections'!F93*1000000*'EV adoption'!E21</f>
        <v>5232.86548445113</v>
      </c>
      <c r="G6" s="41" t="n">
        <f aca="false">'Fleet projections'!G93*1000000*'EV adoption'!F21</f>
        <v>123.726444815395</v>
      </c>
      <c r="H6" s="41" t="n">
        <f aca="false">'Fleet projections'!H93*1000000*'EV adoption'!G21</f>
        <v>89.1603244617483</v>
      </c>
      <c r="I6" s="41" t="n">
        <f aca="false">SUM(C6:H6)</f>
        <v>87341.3033407739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0.54757780095319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0.367550141275756</v>
      </c>
      <c r="L6" s="41" t="n">
        <f aca="false">((D6*Assumptions!$D$7+E6*Assumptions!$D$8)*Assumptions!$B$51+C6*Assumptions!$D$6*Assumptions!$B$56)/Assumptions!$B$52</f>
        <v>29865.0511016961</v>
      </c>
      <c r="M6" s="41" t="n">
        <f aca="false">(D6*Assumptions!$D$7+E6*Assumptions!$D$8)*(1-Assumptions!$B$51)/Assumptions!$B$26</f>
        <v>4448.33286775364</v>
      </c>
      <c r="N6" s="41" t="n">
        <f aca="false">(D6*(1-Assumptions!$D$7)+E6*(1-Assumptions!$D$8))/Assumptions!$B$27</f>
        <v>2440.23178933827</v>
      </c>
      <c r="O6" s="41" t="n">
        <f aca="false">(D6+E6)/Assumptions!$B$28</f>
        <v>784.601882384564</v>
      </c>
      <c r="P6" s="41" t="n">
        <f aca="false">(F6+G6+H6)/Assumptions!$B$29</f>
        <v>2178.30090149131</v>
      </c>
      <c r="Q6" s="41" t="n">
        <f aca="false">C6*(1-Assumptions!$D$6)/Assumptions!$B$30</f>
        <v>69.6388762879436</v>
      </c>
      <c r="R6" s="42" t="n">
        <f aca="false">(L6*Assumptions!$B$53+M6*Assumptions!$B$35+N6*Assumptions!$B$36+O6*Assumptions!$B$37+P6*Assumptions!$B$38+Q6*Assumptions!$B$39)/1000000000</f>
        <v>0.278749071222023</v>
      </c>
      <c r="S6" s="42" t="n">
        <f aca="false">K6*1000000*Assumptions!$B$43/1000000000</f>
        <v>0.16539756357409</v>
      </c>
      <c r="T6" s="42" t="n">
        <f aca="false">R6+S6</f>
        <v>0.444146634796113</v>
      </c>
      <c r="U6" s="42" t="n">
        <f aca="false">J6*Assumptions!$B$59*1000/8760/'Load profile'!L75</f>
        <v>0.13146621375416</v>
      </c>
      <c r="V6" s="42" t="n">
        <f aca="false">(D6+E6)*Assumptions!$B$64*Assumptions!$B$65*Assumptions!$B$66/1000000</f>
        <v>0.0098859837180455</v>
      </c>
    </row>
    <row r="7" customFormat="false" ht="15" hidden="false" customHeight="true" outlineLevel="0" collapsed="false">
      <c r="A7" s="5" t="n">
        <v>2028</v>
      </c>
      <c r="B7" s="41" t="n">
        <f aca="false">'Fleet projections'!C36*1000000</f>
        <v>19408639.3042426</v>
      </c>
      <c r="C7" s="41" t="n">
        <f aca="false">'Fleet projections'!C94*1000000*'EV adoption'!B22</f>
        <v>49072.7120959491</v>
      </c>
      <c r="D7" s="41" t="n">
        <f aca="false">'Fleet projections'!D94*1000000*'EV adoption'!C22</f>
        <v>50467.8930276063</v>
      </c>
      <c r="E7" s="41" t="n">
        <f aca="false">'Fleet projections'!E94*1000000*'EV adoption'!D22</f>
        <v>13831.4107951115</v>
      </c>
      <c r="F7" s="41" t="n">
        <f aca="false">'Fleet projections'!F94*1000000*'EV adoption'!E22</f>
        <v>6824.18017130475</v>
      </c>
      <c r="G7" s="41" t="n">
        <f aca="false">'Fleet projections'!G94*1000000*'EV adoption'!F22</f>
        <v>166.410721674786</v>
      </c>
      <c r="H7" s="41" t="n">
        <f aca="false">'Fleet projections'!H94*1000000*'EV adoption'!G22</f>
        <v>118.458757138948</v>
      </c>
      <c r="I7" s="41" t="n">
        <f aca="false">SUM(C7:H7)</f>
        <v>120481.065568785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0.733427365010543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0.485003169563937</v>
      </c>
      <c r="L7" s="41" t="n">
        <f aca="false">((D7*Assumptions!$D$7+E7*Assumptions!$D$8)*Assumptions!$B$51+C7*Assumptions!$D$6*Assumptions!$B$56)/Assumptions!$B$52</f>
        <v>41571.9623626777</v>
      </c>
      <c r="M7" s="41" t="n">
        <f aca="false">(D7*Assumptions!$D$7+E7*Assumptions!$D$8)*(1-Assumptions!$B$51)/Assumptions!$B$26</f>
        <v>6084.14511239399</v>
      </c>
      <c r="N7" s="41" t="n">
        <f aca="false">(D7*(1-Assumptions!$D$7)+E7*(1-Assumptions!$D$8))/Assumptions!$B$27</f>
        <v>3330.22694776182</v>
      </c>
      <c r="O7" s="41" t="n">
        <f aca="false">(D7+E7)/Assumptions!$B$28</f>
        <v>1071.65506371196</v>
      </c>
      <c r="P7" s="41" t="n">
        <f aca="false">(F7+G7+H7)/Assumptions!$B$29</f>
        <v>2843.61986004739</v>
      </c>
      <c r="Q7" s="41" t="n">
        <f aca="false">C7*(1-Assumptions!$D$6)/Assumptions!$B$30</f>
        <v>98.1454241918982</v>
      </c>
      <c r="R7" s="42" t="n">
        <f aca="false">(L7*Assumptions!$B$53+M7*Assumptions!$B$35+N7*Assumptions!$B$36+O7*Assumptions!$B$37+P7*Assumptions!$B$38+Q7*Assumptions!$B$39)/1000000000</f>
        <v>0.370756473429167</v>
      </c>
      <c r="S7" s="42" t="n">
        <f aca="false">K7*1000000*Assumptions!$B$43/1000000000</f>
        <v>0.218251426303771</v>
      </c>
      <c r="T7" s="42" t="n">
        <f aca="false">R7+S7</f>
        <v>0.589007899732939</v>
      </c>
      <c r="U7" s="42" t="n">
        <f aca="false">J7*Assumptions!$B$59*1000/8760/'Load profile'!M75</f>
        <v>0.1741074355134</v>
      </c>
      <c r="V7" s="42" t="n">
        <f aca="false">(D7+E7)*Assumptions!$B$64*Assumptions!$B$65*Assumptions!$B$66/1000000</f>
        <v>0.0135028538027707</v>
      </c>
    </row>
    <row r="8" customFormat="false" ht="15" hidden="false" customHeight="true" outlineLevel="0" collapsed="false">
      <c r="A8" s="5" t="n">
        <v>2029</v>
      </c>
      <c r="B8" s="41" t="n">
        <f aca="false">'Fleet projections'!C37*1000000</f>
        <v>20726176.138705</v>
      </c>
      <c r="C8" s="41" t="n">
        <f aca="false">'Fleet projections'!C95*1000000*'EV adoption'!B23</f>
        <v>69126.2632621171</v>
      </c>
      <c r="D8" s="41" t="n">
        <f aca="false">'Fleet projections'!D95*1000000*'EV adoption'!C23</f>
        <v>69366.3606995392</v>
      </c>
      <c r="E8" s="41" t="n">
        <f aca="false">'Fleet projections'!E95*1000000*'EV adoption'!D23</f>
        <v>18438.1004261207</v>
      </c>
      <c r="F8" s="41" t="n">
        <f aca="false">'Fleet projections'!F95*1000000*'EV adoption'!E23</f>
        <v>8897.12040759365</v>
      </c>
      <c r="G8" s="41" t="n">
        <f aca="false">'Fleet projections'!G95*1000000*'EV adoption'!F23</f>
        <v>223.68765184243</v>
      </c>
      <c r="H8" s="41" t="n">
        <f aca="false">'Fleet projections'!H95*1000000*'EV adoption'!G23</f>
        <v>157.325262761929</v>
      </c>
      <c r="I8" s="41" t="n">
        <f aca="false">SUM(C8:H8)</f>
        <v>166208.857709975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0.982715164863726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0.640146420082325</v>
      </c>
      <c r="L8" s="41" t="n">
        <f aca="false">((D8*Assumptions!$D$7+E8*Assumptions!$D$8)*Assumptions!$B$51+C8*Assumptions!$D$6*Assumptions!$B$56)/Assumptions!$B$52</f>
        <v>57857.7137164149</v>
      </c>
      <c r="M8" s="41" t="n">
        <f aca="false">(D8*Assumptions!$D$7+E8*Assumptions!$D$8)*(1-Assumptions!$B$51)/Assumptions!$B$26</f>
        <v>8319.49360191297</v>
      </c>
      <c r="N8" s="41" t="n">
        <f aca="false">(D8*(1-Assumptions!$D$7)+E8*(1-Assumptions!$D$8))/Assumptions!$B$27</f>
        <v>4543.87389316733</v>
      </c>
      <c r="O8" s="41" t="n">
        <f aca="false">(D8+E8)/Assumptions!$B$28</f>
        <v>1463.40768542766</v>
      </c>
      <c r="P8" s="41" t="n">
        <f aca="false">(F8+G8+H8)/Assumptions!$B$29</f>
        <v>3711.2533288792</v>
      </c>
      <c r="Q8" s="41" t="n">
        <f aca="false">C8*(1-Assumptions!$D$6)/Assumptions!$B$30</f>
        <v>138.252526524234</v>
      </c>
      <c r="R8" s="42" t="n">
        <f aca="false">(L8*Assumptions!$B$53+M8*Assumptions!$B$35+N8*Assumptions!$B$36+O8*Assumptions!$B$37+P8*Assumptions!$B$38+Q8*Assumptions!$B$39)/1000000000</f>
        <v>0.493374429495308</v>
      </c>
      <c r="S8" s="42" t="n">
        <f aca="false">K8*1000000*Assumptions!$B$43/1000000000</f>
        <v>0.288065889037046</v>
      </c>
      <c r="T8" s="42" t="n">
        <f aca="false">R8+S8</f>
        <v>0.781440318532355</v>
      </c>
      <c r="U8" s="42" t="n">
        <f aca="false">J8*Assumptions!$B$59*1000/8760/'Load profile'!N75</f>
        <v>0.230643907303151</v>
      </c>
      <c r="V8" s="42" t="n">
        <f aca="false">(D8+E8)*Assumptions!$B$64*Assumptions!$B$65*Assumptions!$B$66/1000000</f>
        <v>0.0184389368363886</v>
      </c>
    </row>
    <row r="9" customFormat="false" ht="15" hidden="false" customHeight="true" outlineLevel="0" collapsed="false">
      <c r="A9" s="5" t="n">
        <v>2030</v>
      </c>
      <c r="B9" s="41" t="n">
        <f aca="false">'Fleet projections'!C38*1000000</f>
        <v>22133152.6954968</v>
      </c>
      <c r="C9" s="41" t="n">
        <f aca="false">'Fleet projections'!C96*1000000*'EV adoption'!B24</f>
        <v>97311.1770312651</v>
      </c>
      <c r="D9" s="41" t="n">
        <f aca="false">'Fleet projections'!D96*1000000*'EV adoption'!C24</f>
        <v>95297.5110271631</v>
      </c>
      <c r="E9" s="41" t="n">
        <f aca="false">'Fleet projections'!E96*1000000*'EV adoption'!D24</f>
        <v>24565.6757315107</v>
      </c>
      <c r="F9" s="41" t="n">
        <f aca="false">'Fleet projections'!F96*1000000*'EV adoption'!E24</f>
        <v>11596.1011822489</v>
      </c>
      <c r="G9" s="41" t="n">
        <f aca="false">'Fleet projections'!G96*1000000*'EV adoption'!F24</f>
        <v>300.454589912515</v>
      </c>
      <c r="H9" s="41" t="n">
        <f aca="false">'Fleet projections'!H96*1000000*'EV adoption'!G24</f>
        <v>208.845876311757</v>
      </c>
      <c r="I9" s="41" t="n">
        <f aca="false">SUM(C9:H9)</f>
        <v>229279.765438412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1.31710194282217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0.845077781286574</v>
      </c>
      <c r="L9" s="41" t="n">
        <f aca="false">((D9*Assumptions!$D$7+E9*Assumptions!$D$8)*Assumptions!$B$51+C9*Assumptions!$D$6*Assumptions!$B$56)/Assumptions!$B$52</f>
        <v>80497.6835068555</v>
      </c>
      <c r="M9" s="41" t="n">
        <f aca="false">(D9*Assumptions!$D$7+E9*Assumptions!$D$8)*(1-Assumptions!$B$51)/Assumptions!$B$26</f>
        <v>11372.1767825796</v>
      </c>
      <c r="N9" s="41" t="n">
        <f aca="false">(D9*(1-Assumptions!$D$7)+E9*(1-Assumptions!$D$8))/Assumptions!$B$27</f>
        <v>6197.87330236295</v>
      </c>
      <c r="O9" s="41" t="n">
        <f aca="false">(D9+E9)/Assumptions!$B$28</f>
        <v>1997.71977931123</v>
      </c>
      <c r="P9" s="41" t="n">
        <f aca="false">(F9+G9+H9)/Assumptions!$B$29</f>
        <v>4842.16065938928</v>
      </c>
      <c r="Q9" s="41" t="n">
        <f aca="false">C9*(1-Assumptions!$D$6)/Assumptions!$B$30</f>
        <v>194.62235406253</v>
      </c>
      <c r="R9" s="42" t="n">
        <f aca="false">(L9*Assumptions!$B$53+M9*Assumptions!$B$35+N9*Assumptions!$B$36+O9*Assumptions!$B$37+P9*Assumptions!$B$38+Q9*Assumptions!$B$39)/1000000000</f>
        <v>0.656822172870329</v>
      </c>
      <c r="S9" s="42" t="n">
        <f aca="false">K9*1000000*Assumptions!$B$43/1000000000</f>
        <v>0.380285001578958</v>
      </c>
      <c r="T9" s="42" t="n">
        <f aca="false">R9+S9</f>
        <v>1.03710717444929</v>
      </c>
      <c r="U9" s="42" t="n">
        <f aca="false">J9*Assumptions!$B$59*1000/8760/'Load profile'!O75</f>
        <v>0.305605066542119</v>
      </c>
      <c r="V9" s="42" t="n">
        <f aca="false">(D9+E9)*Assumptions!$B$64*Assumptions!$B$65*Assumptions!$B$66/1000000</f>
        <v>0.0251712692193215</v>
      </c>
    </row>
    <row r="10" customFormat="false" ht="15" hidden="false" customHeight="true" outlineLevel="0" collapsed="false">
      <c r="A10" s="5" t="n">
        <v>2031</v>
      </c>
      <c r="B10" s="41" t="n">
        <f aca="false">'Fleet projections'!C39*1000000</f>
        <v>23635640.5042492</v>
      </c>
      <c r="C10" s="41" t="n">
        <f aca="false">'Fleet projections'!C97*1000000*'EV adoption'!B25</f>
        <v>136870.501252618</v>
      </c>
      <c r="D10" s="41" t="n">
        <f aca="false">'Fleet projections'!D97*1000000*'EV adoption'!C25</f>
        <v>130844.677428992</v>
      </c>
      <c r="E10" s="41" t="n">
        <f aca="false">'Fleet projections'!E97*1000000*'EV adoption'!D25</f>
        <v>32707.4133105083</v>
      </c>
      <c r="F10" s="41" t="n">
        <f aca="false">'Fleet projections'!F97*1000000*'EV adoption'!E25</f>
        <v>15108.045184178</v>
      </c>
      <c r="G10" s="41" t="n">
        <f aca="false">'Fleet projections'!G97*1000000*'EV adoption'!F25</f>
        <v>403.190063975913</v>
      </c>
      <c r="H10" s="41" t="n">
        <f aca="false">'Fleet projections'!H97*1000000*'EV adoption'!G25</f>
        <v>277.077048933426</v>
      </c>
      <c r="I10" s="41" t="n">
        <f aca="false">SUM(C10:H10)</f>
        <v>316210.904289205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1.7655621339705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1.11574171516376</v>
      </c>
      <c r="L10" s="41" t="n">
        <f aca="false">((D10*Assumptions!$D$7+E10*Assumptions!$D$8)*Assumptions!$B$51+C10*Assumptions!$D$6*Assumptions!$B$56)/Assumptions!$B$52</f>
        <v>111940.317101633</v>
      </c>
      <c r="M10" s="41" t="n">
        <f aca="false">(D10*Assumptions!$D$7+E10*Assumptions!$D$8)*(1-Assumptions!$B$51)/Assumptions!$B$26</f>
        <v>15537.5237411873</v>
      </c>
      <c r="N10" s="41" t="n">
        <f aca="false">(D10*(1-Assumptions!$D$7)+E10*(1-Assumptions!$D$8))/Assumptions!$B$27</f>
        <v>8450.16631456258</v>
      </c>
      <c r="O10" s="41" t="n">
        <f aca="false">(D10+E10)/Assumptions!$B$28</f>
        <v>2725.86817899167</v>
      </c>
      <c r="P10" s="41" t="n">
        <f aca="false">(F10+G10+H10)/Assumptions!$B$29</f>
        <v>6315.32491883493</v>
      </c>
      <c r="Q10" s="41" t="n">
        <f aca="false">C10*(1-Assumptions!$D$6)/Assumptions!$B$30</f>
        <v>273.741002505236</v>
      </c>
      <c r="R10" s="42" t="n">
        <f aca="false">(L10*Assumptions!$B$53+M10*Assumptions!$B$35+N10*Assumptions!$B$36+O10*Assumptions!$B$37+P10*Assumptions!$B$38+Q10*Assumptions!$B$39)/1000000000</f>
        <v>0.874704982584545</v>
      </c>
      <c r="S10" s="42" t="n">
        <f aca="false">K10*1000000*Assumptions!$B$43/1000000000</f>
        <v>0.502083771823694</v>
      </c>
      <c r="T10" s="42" t="n">
        <f aca="false">R10+S10</f>
        <v>1.37678875440824</v>
      </c>
      <c r="U10" s="42" t="n">
        <f aca="false">J10*Assumptions!$B$59*1000/8760/'Load profile'!P75</f>
        <v>0.404982491011007</v>
      </c>
      <c r="V10" s="42" t="n">
        <f aca="false">(D10+E10)*Assumptions!$B$64*Assumptions!$B$65*Assumptions!$B$66/1000000</f>
        <v>0.034345939055295</v>
      </c>
    </row>
    <row r="11" customFormat="false" ht="15" hidden="false" customHeight="true" outlineLevel="0" collapsed="false">
      <c r="A11" s="5" t="n">
        <v>2032</v>
      </c>
      <c r="B11" s="41" t="n">
        <f aca="false">'Fleet projections'!C40*1000000</f>
        <v>25240123.2545495</v>
      </c>
      <c r="C11" s="41" t="n">
        <f aca="false">'Fleet projections'!C98*1000000*'EV adoption'!B26</f>
        <v>192295.072980535</v>
      </c>
      <c r="D11" s="41" t="n">
        <f aca="false">'Fleet projections'!D98*1000000*'EV adoption'!C26</f>
        <v>179514.515732243</v>
      </c>
      <c r="E11" s="41" t="n">
        <f aca="false">'Fleet projections'!E98*1000000*'EV adoption'!D26</f>
        <v>43510.8032571021</v>
      </c>
      <c r="F11" s="41" t="n">
        <f aca="false">'Fleet projections'!F98*1000000*'EV adoption'!E26</f>
        <v>19674.4301428524</v>
      </c>
      <c r="G11" s="41" t="n">
        <f aca="false">'Fleet projections'!G98*1000000*'EV adoption'!F26</f>
        <v>540.422192199994</v>
      </c>
      <c r="H11" s="41" t="n">
        <f aca="false">'Fleet projections'!H98*1000000*'EV adoption'!G26</f>
        <v>367.334822616975</v>
      </c>
      <c r="I11" s="41" t="n">
        <f aca="false">SUM(C11:H11)</f>
        <v>435902.57912755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2.3667643694646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1.47311262629497</v>
      </c>
      <c r="L11" s="41" t="n">
        <f aca="false">((D11*Assumptions!$D$7+E11*Assumptions!$D$8)*Assumptions!$B$51+C11*Assumptions!$D$6*Assumptions!$B$56)/Assumptions!$B$52</f>
        <v>155548.869579287</v>
      </c>
      <c r="M11" s="41" t="n">
        <f aca="false">(D11*Assumptions!$D$7+E11*Assumptions!$D$8)*(1-Assumptions!$B$51)/Assumptions!$B$26</f>
        <v>21214.761817507</v>
      </c>
      <c r="N11" s="41" t="n">
        <f aca="false">(D11*(1-Assumptions!$D$7)+E11*(1-Assumptions!$D$8))/Assumptions!$B$27</f>
        <v>11513.8559766098</v>
      </c>
      <c r="O11" s="41" t="n">
        <f aca="false">(D11+E11)/Assumptions!$B$28</f>
        <v>3717.08864982242</v>
      </c>
      <c r="P11" s="41" t="n">
        <f aca="false">(F11+G11+H11)/Assumptions!$B$29</f>
        <v>8232.87486306776</v>
      </c>
      <c r="Q11" s="41" t="n">
        <f aca="false">C11*(1-Assumptions!$D$6)/Assumptions!$B$30</f>
        <v>384.59014596107</v>
      </c>
      <c r="R11" s="42" t="n">
        <f aca="false">(L11*Assumptions!$B$53+M11*Assumptions!$B$35+N11*Assumptions!$B$36+O11*Assumptions!$B$37+P11*Assumptions!$B$38+Q11*Assumptions!$B$39)/1000000000</f>
        <v>1.16509891470084</v>
      </c>
      <c r="S11" s="42" t="n">
        <f aca="false">K11*1000000*Assumptions!$B$43/1000000000</f>
        <v>0.662900681832736</v>
      </c>
      <c r="T11" s="42" t="n">
        <f aca="false">R11+S11</f>
        <v>1.82799959653357</v>
      </c>
      <c r="U11" s="42" t="n">
        <f aca="false">J11*Assumptions!$B$59*1000/8760/'Load profile'!Q75</f>
        <v>0.53668656352133</v>
      </c>
      <c r="V11" s="42" t="n">
        <f aca="false">(D11+E11)*Assumptions!$B$64*Assumptions!$B$65*Assumptions!$B$66/1000000</f>
        <v>0.0468353169877625</v>
      </c>
    </row>
    <row r="12" customFormat="false" ht="15" hidden="false" customHeight="true" outlineLevel="0" collapsed="false">
      <c r="A12" s="5" t="n">
        <v>2033</v>
      </c>
      <c r="B12" s="41" t="n">
        <f aca="false">'Fleet projections'!C41*1000000</f>
        <v>26953524.7750244</v>
      </c>
      <c r="C12" s="41" t="n">
        <f aca="false">'Fleet projections'!C99*1000000*'EV adoption'!B27</f>
        <v>269765.525258371</v>
      </c>
      <c r="D12" s="41" t="n">
        <f aca="false">'Fleet projections'!D99*1000000*'EV adoption'!C27</f>
        <v>246047.718952754</v>
      </c>
      <c r="E12" s="41" t="n">
        <f aca="false">'Fleet projections'!E99*1000000*'EV adoption'!D27</f>
        <v>57822.0293779637</v>
      </c>
      <c r="F12" s="41" t="n">
        <f aca="false">'Fleet projections'!F99*1000000*'EV adoption'!E27</f>
        <v>25606.4804259333</v>
      </c>
      <c r="G12" s="41" t="n">
        <f aca="false">'Fleet projections'!G99*1000000*'EV adoption'!F27</f>
        <v>723.307744308855</v>
      </c>
      <c r="H12" s="41" t="n">
        <f aca="false">'Fleet projections'!H99*1000000*'EV adoption'!G27</f>
        <v>486.56000698999</v>
      </c>
      <c r="I12" s="41" t="n">
        <f aca="false">SUM(C12:H12)</f>
        <v>600451.621766321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3.1721526621757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1.94470947153868</v>
      </c>
      <c r="L12" s="41" t="n">
        <f aca="false">((D12*Assumptions!$D$7+E12*Assumptions!$D$8)*Assumptions!$B$51+C12*Assumptions!$D$6*Assumptions!$B$56)/Assumptions!$B$52</f>
        <v>215918.750105329</v>
      </c>
      <c r="M12" s="41" t="n">
        <f aca="false">(D12*Assumptions!$D$7+E12*Assumptions!$D$8)*(1-Assumptions!$B$51)/Assumptions!$B$26</f>
        <v>28941.4240986227</v>
      </c>
      <c r="N12" s="41" t="n">
        <f aca="false">(D12*(1-Assumptions!$D$7)+E12*(1-Assumptions!$D$8))/Assumptions!$B$27</f>
        <v>15675.3376613522</v>
      </c>
      <c r="O12" s="41" t="n">
        <f aca="false">(D12+E12)/Assumptions!$B$28</f>
        <v>5064.49580551196</v>
      </c>
      <c r="P12" s="41" t="n">
        <f aca="false">(F12+G12+H12)/Assumptions!$B$29</f>
        <v>10726.5392708929</v>
      </c>
      <c r="Q12" s="41" t="n">
        <f aca="false">C12*(1-Assumptions!$D$6)/Assumptions!$B$30</f>
        <v>539.531050516742</v>
      </c>
      <c r="R12" s="42" t="n">
        <f aca="false">(L12*Assumptions!$B$53+M12*Assumptions!$B$35+N12*Assumptions!$B$36+O12*Assumptions!$B$37+P12*Assumptions!$B$38+Q12*Assumptions!$B$39)/1000000000</f>
        <v>1.55194921831635</v>
      </c>
      <c r="S12" s="42" t="n">
        <f aca="false">K12*1000000*Assumptions!$B$43/1000000000</f>
        <v>0.875119262192406</v>
      </c>
      <c r="T12" s="42" t="n">
        <f aca="false">R12+S12</f>
        <v>2.42706848050875</v>
      </c>
      <c r="U12" s="42" t="n">
        <f aca="false">J12*Assumptions!$B$59*1000/8760/'Load profile'!R75</f>
        <v>0.711133235916629</v>
      </c>
      <c r="V12" s="42" t="n">
        <f aca="false">(D12+E12)*Assumptions!$B$64*Assumptions!$B$65*Assumptions!$B$66/1000000</f>
        <v>0.0638126471494507</v>
      </c>
    </row>
    <row r="13" customFormat="false" ht="15" hidden="false" customHeight="true" outlineLevel="0" collapsed="false">
      <c r="A13" s="5" t="n">
        <v>2034</v>
      </c>
      <c r="B13" s="41" t="n">
        <f aca="false">'Fleet projections'!C42*1000000</f>
        <v>28783238.9117555</v>
      </c>
      <c r="C13" s="41" t="n">
        <f aca="false">'Fleet projections'!C100*1000000*'EV adoption'!B28</f>
        <v>377719.419842062</v>
      </c>
      <c r="D13" s="41" t="n">
        <f aca="false">'Fleet projections'!D100*1000000*'EV adoption'!C28</f>
        <v>336819.875702034</v>
      </c>
      <c r="E13" s="41" t="n">
        <f aca="false">'Fleet projections'!E100*1000000*'EV adoption'!D28</f>
        <v>76740.8879151671</v>
      </c>
      <c r="F13" s="41" t="n">
        <f aca="false">'Fleet projections'!F100*1000000*'EV adoption'!E28</f>
        <v>33304.1662582815</v>
      </c>
      <c r="G13" s="41" t="n">
        <f aca="false">'Fleet projections'!G100*1000000*'EV adoption'!F28</f>
        <v>966.328993099066</v>
      </c>
      <c r="H13" s="41" t="n">
        <f aca="false">'Fleet projections'!H100*1000000*'EV adoption'!G28</f>
        <v>643.772840009065</v>
      </c>
      <c r="I13" s="41" t="n">
        <f aca="false">SUM(C13:H13)</f>
        <v>826194.451550653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4.24987730739244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2.56650937261032</v>
      </c>
      <c r="L13" s="41" t="n">
        <f aca="false">((D13*Assumptions!$D$7+E13*Assumptions!$D$8)*Assumptions!$B$51+C13*Assumptions!$D$6*Assumptions!$B$56)/Assumptions!$B$52</f>
        <v>299284.861579786</v>
      </c>
      <c r="M13" s="41" t="n">
        <f aca="false">(D13*Assumptions!$D$7+E13*Assumptions!$D$8)*(1-Assumptions!$B$51)/Assumptions!$B$26</f>
        <v>39437.5541638409</v>
      </c>
      <c r="N13" s="41" t="n">
        <f aca="false">(D13*(1-Assumptions!$D$7)+E13*(1-Assumptions!$D$8))/Assumptions!$B$27</f>
        <v>21317.5455801531</v>
      </c>
      <c r="O13" s="41" t="n">
        <f aca="false">(D13+E13)/Assumptions!$B$28</f>
        <v>6892.67939362002</v>
      </c>
      <c r="P13" s="41" t="n">
        <f aca="false">(F13+G13+H13)/Assumptions!$B$29</f>
        <v>13965.7072365559</v>
      </c>
      <c r="Q13" s="41" t="n">
        <f aca="false">C13*(1-Assumptions!$D$6)/Assumptions!$B$30</f>
        <v>755.438839684125</v>
      </c>
      <c r="R13" s="42" t="n">
        <f aca="false">(L13*Assumptions!$B$53+M13*Assumptions!$B$35+N13*Assumptions!$B$36+O13*Assumptions!$B$37+P13*Assumptions!$B$38+Q13*Assumptions!$B$39)/1000000000</f>
        <v>2.06684587989835</v>
      </c>
      <c r="S13" s="42" t="n">
        <f aca="false">K13*1000000*Assumptions!$B$43/1000000000</f>
        <v>1.15492921767465</v>
      </c>
      <c r="T13" s="42" t="n">
        <f aca="false">R13+S13</f>
        <v>3.221775097573</v>
      </c>
      <c r="U13" s="42" t="n">
        <f aca="false">J13*Assumptions!$B$59*1000/8760/'Load profile'!S75</f>
        <v>0.941988527143136</v>
      </c>
      <c r="V13" s="42" t="n">
        <f aca="false">(D13+E13)*Assumptions!$B$64*Assumptions!$B$65*Assumptions!$B$66/1000000</f>
        <v>0.0868477603596122</v>
      </c>
    </row>
    <row r="14" customFormat="false" ht="15" hidden="false" customHeight="true" outlineLevel="0" collapsed="false">
      <c r="A14" s="5" t="n">
        <v>2035</v>
      </c>
      <c r="B14" s="41" t="n">
        <f aca="false">'Fleet projections'!C43*1000000</f>
        <v>30737161.4349629</v>
      </c>
      <c r="C14" s="41" t="n">
        <f aca="false">'Fleet projections'!C101*1000000*'EV adoption'!B29</f>
        <v>527552.791201283</v>
      </c>
      <c r="D14" s="41" t="n">
        <f aca="false">'Fleet projections'!D101*1000000*'EV adoption'!C29</f>
        <v>460347.815920476</v>
      </c>
      <c r="E14" s="41" t="n">
        <f aca="false">'Fleet projections'!E101*1000000*'EV adoption'!D29</f>
        <v>101687.04810804</v>
      </c>
      <c r="F14" s="41" t="n">
        <f aca="false">'Fleet projections'!F101*1000000*'EV adoption'!E29</f>
        <v>43279.7198612877</v>
      </c>
      <c r="G14" s="41" t="n">
        <f aca="false">'Fleet projections'!G101*1000000*'EV adoption'!F29</f>
        <v>1288.10144952788</v>
      </c>
      <c r="H14" s="41" t="n">
        <f aca="false">'Fleet projections'!H101*1000000*'EV adoption'!G29</f>
        <v>850.628644654386</v>
      </c>
      <c r="I14" s="41" t="n">
        <f aca="false">SUM(C14:H14)</f>
        <v>1135006.10518527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5.68971169570953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3.38532287495716</v>
      </c>
      <c r="L14" s="41" t="n">
        <f aca="false">((D14*Assumptions!$D$7+E14*Assumptions!$D$8)*Assumptions!$B$51+C14*Assumptions!$D$6*Assumptions!$B$56)/Assumptions!$B$52</f>
        <v>414028.064161063</v>
      </c>
      <c r="M14" s="41" t="n">
        <f aca="false">(D14*Assumptions!$D$7+E14*Assumptions!$D$8)*(1-Assumptions!$B$51)/Assumptions!$B$26</f>
        <v>53661.3102001506</v>
      </c>
      <c r="N14" s="41" t="n">
        <f aca="false">(D14*(1-Assumptions!$D$7)+E14*(1-Assumptions!$D$8))/Assumptions!$B$27</f>
        <v>28949.1352689928</v>
      </c>
      <c r="O14" s="41" t="n">
        <f aca="false">(D14+E14)/Assumptions!$B$28</f>
        <v>9367.24773380859</v>
      </c>
      <c r="P14" s="41" t="n">
        <f aca="false">(F14+G14+H14)/Assumptions!$B$29</f>
        <v>18167.379982188</v>
      </c>
      <c r="Q14" s="41" t="n">
        <f aca="false">C14*(1-Assumptions!$D$6)/Assumptions!$B$30</f>
        <v>1055.10558240257</v>
      </c>
      <c r="R14" s="42" t="n">
        <f aca="false">(L14*Assumptions!$B$53+M14*Assumptions!$B$35+N14*Assumptions!$B$36+O14*Assumptions!$B$37+P14*Assumptions!$B$38+Q14*Assumptions!$B$39)/1000000000</f>
        <v>2.75123069979825</v>
      </c>
      <c r="S14" s="42" t="n">
        <f aca="false">K14*1000000*Assumptions!$B$43/1000000000</f>
        <v>1.52339529373072</v>
      </c>
      <c r="T14" s="42" t="n">
        <f aca="false">R14+S14</f>
        <v>4.27462599352897</v>
      </c>
      <c r="U14" s="42" t="n">
        <f aca="false">J14*Assumptions!$B$59*1000/8760/'Load profile'!T75</f>
        <v>1.24709715384536</v>
      </c>
      <c r="V14" s="42" t="n">
        <f aca="false">(D14+E14)*Assumptions!$B$64*Assumptions!$B$65*Assumptions!$B$66/1000000</f>
        <v>0.118027321445988</v>
      </c>
    </row>
    <row r="15" customFormat="false" ht="15" hidden="false" customHeight="true" outlineLevel="0" collapsed="false">
      <c r="A15" s="5" t="n">
        <v>2036</v>
      </c>
      <c r="B15" s="41" t="n">
        <f aca="false">'Fleet projections'!C44*1000000</f>
        <v>32823724.111643</v>
      </c>
      <c r="C15" s="41" t="n">
        <f aca="false">'Fleet projections'!C102*1000000*'EV adoption'!B30</f>
        <v>734441.656413223</v>
      </c>
      <c r="D15" s="41" t="n">
        <f aca="false">'Fleet projections'!D102*1000000*'EV adoption'!C30</f>
        <v>627910.765200193</v>
      </c>
      <c r="E15" s="41" t="n">
        <f aca="false">'Fleet projections'!E102*1000000*'EV adoption'!D30</f>
        <v>134477.522114104</v>
      </c>
      <c r="F15" s="41" t="n">
        <f aca="false">'Fleet projections'!F102*1000000*'EV adoption'!E30</f>
        <v>56186.3622806478</v>
      </c>
      <c r="G15" s="41" t="n">
        <f aca="false">'Fleet projections'!G102*1000000*'EV adoption'!F30</f>
        <v>1712.26020229694</v>
      </c>
      <c r="H15" s="41" t="n">
        <f aca="false">'Fleet projections'!H102*1000000*'EV adoption'!G30</f>
        <v>1122.08030982458</v>
      </c>
      <c r="I15" s="41" t="n">
        <f aca="false">SUM(C15:H15)</f>
        <v>1555850.64652029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7.60903573974862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4.46167087024158</v>
      </c>
      <c r="L15" s="41" t="n">
        <f aca="false">((D15*Assumptions!$D$7+E15*Assumptions!$D$8)*Assumptions!$B$51+C15*Assumptions!$D$6*Assumptions!$B$56)/Assumptions!$B$52</f>
        <v>571276.122106627</v>
      </c>
      <c r="M15" s="41" t="n">
        <f aca="false">(D15*Assumptions!$D$7+E15*Assumptions!$D$8)*(1-Assumptions!$B$51)/Assumptions!$B$26</f>
        <v>72876.8906785771</v>
      </c>
      <c r="N15" s="41" t="n">
        <f aca="false">(D15*(1-Assumptions!$D$7)+E15*(1-Assumptions!$D$8))/Assumptions!$B$27</f>
        <v>39240.0603833324</v>
      </c>
      <c r="O15" s="41" t="n">
        <f aca="false">(D15+E15)/Assumptions!$B$28</f>
        <v>12706.4714552383</v>
      </c>
      <c r="P15" s="41" t="n">
        <f aca="false">(F15+G15+H15)/Assumptions!$B$29</f>
        <v>23608.2811171077</v>
      </c>
      <c r="Q15" s="41" t="n">
        <f aca="false">C15*(1-Assumptions!$D$6)/Assumptions!$B$30</f>
        <v>1468.88331282645</v>
      </c>
      <c r="R15" s="42" t="n">
        <f aca="false">(L15*Assumptions!$B$53+M15*Assumptions!$B$35+N15*Assumptions!$B$36+O15*Assumptions!$B$37+P15*Assumptions!$B$38+Q15*Assumptions!$B$39)/1000000000</f>
        <v>3.65905987702904</v>
      </c>
      <c r="S15" s="42" t="n">
        <f aca="false">K15*1000000*Assumptions!$B$43/1000000000</f>
        <v>2.00775189160871</v>
      </c>
      <c r="T15" s="42" t="n">
        <f aca="false">R15+S15</f>
        <v>5.66681176863775</v>
      </c>
      <c r="U15" s="42" t="n">
        <f aca="false">J15*Assumptions!$B$59*1000/8760/'Load profile'!U75</f>
        <v>1.64961396418777</v>
      </c>
      <c r="V15" s="42" t="n">
        <f aca="false">(D15+E15)*Assumptions!$B$64*Assumptions!$B$65*Assumptions!$B$66/1000000</f>
        <v>0.160101540336002</v>
      </c>
    </row>
    <row r="16" customFormat="false" ht="15" hidden="false" customHeight="true" outlineLevel="0" collapsed="false">
      <c r="A16" s="5" t="n">
        <v>2037</v>
      </c>
      <c r="B16" s="41" t="n">
        <f aca="false">'Fleet projections'!C45*1000000</f>
        <v>35051931.0911949</v>
      </c>
      <c r="C16" s="41" t="n">
        <f aca="false">'Fleet projections'!C103*1000000*'EV adoption'!B31</f>
        <v>1018222.50039859</v>
      </c>
      <c r="D16" s="41" t="n">
        <f aca="false">'Fleet projections'!D103*1000000*'EV adoption'!C31</f>
        <v>854281.1182185</v>
      </c>
      <c r="E16" s="41" t="n">
        <f aca="false">'Fleet projections'!E103*1000000*'EV adoption'!D31</f>
        <v>177413.300956663</v>
      </c>
      <c r="F16" s="41" t="n">
        <f aca="false">'Fleet projections'!F103*1000000*'EV adoption'!E31</f>
        <v>72852.8088803352</v>
      </c>
      <c r="G16" s="41" t="n">
        <f aca="false">'Fleet projections'!G103*1000000*'EV adoption'!F31</f>
        <v>2268.35178687508</v>
      </c>
      <c r="H16" s="41" t="n">
        <f aca="false">'Fleet projections'!H103*1000000*'EV adoption'!G31</f>
        <v>1477.14180963778</v>
      </c>
      <c r="I16" s="41" t="n">
        <f aca="false">SUM(C16:H16)</f>
        <v>2126515.2220506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10.1598376832945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5.87315102571864</v>
      </c>
      <c r="L16" s="41" t="n">
        <f aca="false">((D16*Assumptions!$D$7+E16*Assumptions!$D$8)*Assumptions!$B$51+C16*Assumptions!$D$6*Assumptions!$B$56)/Assumptions!$B$52</f>
        <v>785566.756501373</v>
      </c>
      <c r="M16" s="41" t="n">
        <f aca="false">(D16*Assumptions!$D$7+E16*Assumptions!$D$8)*(1-Assumptions!$B$51)/Assumptions!$B$26</f>
        <v>98734.1093935997</v>
      </c>
      <c r="N16" s="41" t="n">
        <f aca="false">(D16*(1-Assumptions!$D$7)+E16*(1-Assumptions!$D$8))/Assumptions!$B$27</f>
        <v>53063.165133397</v>
      </c>
      <c r="O16" s="41" t="n">
        <f aca="false">(D16+E16)/Assumptions!$B$28</f>
        <v>17194.9069862527</v>
      </c>
      <c r="P16" s="41" t="n">
        <f aca="false">(F16+G16+H16)/Assumptions!$B$29</f>
        <v>30639.3209907392</v>
      </c>
      <c r="Q16" s="41" t="n">
        <f aca="false">C16*(1-Assumptions!$D$6)/Assumptions!$B$30</f>
        <v>2036.44500079718</v>
      </c>
      <c r="R16" s="42" t="n">
        <f aca="false">(L16*Assumptions!$B$53+M16*Assumptions!$B$35+N16*Assumptions!$B$36+O16*Assumptions!$B$37+P16*Assumptions!$B$38+Q16*Assumptions!$B$39)/1000000000</f>
        <v>4.8598798423601</v>
      </c>
      <c r="S16" s="42" t="n">
        <f aca="false">K16*1000000*Assumptions!$B$43/1000000000</f>
        <v>2.64291796157339</v>
      </c>
      <c r="T16" s="42" t="n">
        <f aca="false">R16+S16</f>
        <v>7.50279780393349</v>
      </c>
      <c r="U16" s="42" t="n">
        <f aca="false">J16*Assumptions!$B$59*1000/8760/'Load profile'!V75</f>
        <v>2.17933788901005</v>
      </c>
      <c r="V16" s="42" t="n">
        <f aca="false">(D16+E16)*Assumptions!$B$64*Assumptions!$B$65*Assumptions!$B$66/1000000</f>
        <v>0.216655828026784</v>
      </c>
    </row>
    <row r="17" customFormat="false" ht="15" hidden="false" customHeight="true" outlineLevel="0" collapsed="false">
      <c r="A17" s="5" t="n">
        <v>2038</v>
      </c>
      <c r="B17" s="41" t="n">
        <f aca="false">'Fleet projections'!C46*1000000</f>
        <v>37431397.76105</v>
      </c>
      <c r="C17" s="41" t="n">
        <f aca="false">'Fleet projections'!C104*1000000*'EV adoption'!B32</f>
        <v>1404192.09362834</v>
      </c>
      <c r="D17" s="41" t="n">
        <f aca="false">'Fleet projections'!D104*1000000*'EV adoption'!C32</f>
        <v>1158531.62884705</v>
      </c>
      <c r="E17" s="41" t="n">
        <f aca="false">'Fleet projections'!E104*1000000*'EV adoption'!D32</f>
        <v>233369.983964928</v>
      </c>
      <c r="F17" s="41" t="n">
        <f aca="false">'Fleet projections'!F104*1000000*'EV adoption'!E32</f>
        <v>94323.8154961829</v>
      </c>
      <c r="G17" s="41" t="n">
        <f aca="false">'Fleet projections'!G104*1000000*'EV adoption'!F32</f>
        <v>2992.5995343898</v>
      </c>
      <c r="H17" s="41" t="n">
        <f aca="false">'Fleet projections'!H104*1000000*'EV adoption'!G32</f>
        <v>1939.7266388269</v>
      </c>
      <c r="I17" s="41" t="n">
        <f aca="false">SUM(C17:H17)</f>
        <v>2895349.84810972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13.5364433118457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7.71818476656421</v>
      </c>
      <c r="L17" s="41" t="n">
        <f aca="false">((D17*Assumptions!$D$7+E17*Assumptions!$D$8)*Assumptions!$B$51+C17*Assumptions!$D$6*Assumptions!$B$56)/Assumptions!$B$52</f>
        <v>1075492.59952398</v>
      </c>
      <c r="M17" s="41" t="n">
        <f aca="false">(D17*Assumptions!$D$7+E17*Assumptions!$D$8)*(1-Assumptions!$B$51)/Assumptions!$B$26</f>
        <v>133355.911682075</v>
      </c>
      <c r="N17" s="41" t="n">
        <f aca="false">(D17*(1-Assumptions!$D$7)+E17*(1-Assumptions!$D$8))/Assumptions!$B$27</f>
        <v>71539.8305069734</v>
      </c>
      <c r="O17" s="41" t="n">
        <f aca="false">(D17+E17)/Assumptions!$B$28</f>
        <v>23198.360213533</v>
      </c>
      <c r="P17" s="41" t="n">
        <f aca="false">(F17+G17+H17)/Assumptions!$B$29</f>
        <v>39702.4566677599</v>
      </c>
      <c r="Q17" s="41" t="n">
        <f aca="false">C17*(1-Assumptions!$D$6)/Assumptions!$B$30</f>
        <v>2808.38418725668</v>
      </c>
      <c r="R17" s="42" t="n">
        <f aca="false">(L17*Assumptions!$B$53+M17*Assumptions!$B$35+N17*Assumptions!$B$36+O17*Assumptions!$B$37+P17*Assumptions!$B$38+Q17*Assumptions!$B$39)/1000000000</f>
        <v>6.44215454926</v>
      </c>
      <c r="S17" s="42" t="n">
        <f aca="false">K17*1000000*Assumptions!$B$43/1000000000</f>
        <v>3.47318314495389</v>
      </c>
      <c r="T17" s="42" t="n">
        <f aca="false">R17+S17</f>
        <v>9.91533769421389</v>
      </c>
      <c r="U17" s="42" t="n">
        <f aca="false">J17*Assumptions!$B$59*1000/8760/'Load profile'!W75</f>
        <v>2.87421164924669</v>
      </c>
      <c r="V17" s="42" t="n">
        <f aca="false">(D17+E17)*Assumptions!$B$64*Assumptions!$B$65*Assumptions!$B$66/1000000</f>
        <v>0.292299338690516</v>
      </c>
    </row>
    <row r="18" customFormat="false" ht="15" hidden="false" customHeight="true" outlineLevel="0" collapsed="false">
      <c r="A18" s="5" t="n">
        <v>2039</v>
      </c>
      <c r="B18" s="41" t="n">
        <f aca="false">'Fleet projections'!C47*1000000</f>
        <v>39972392.2399784</v>
      </c>
      <c r="C18" s="41" t="n">
        <f aca="false">'Fleet projections'!C105*1000000*'EV adoption'!B33</f>
        <v>1923572.34967897</v>
      </c>
      <c r="D18" s="41" t="n">
        <f aca="false">'Fleet projections'!D105*1000000*'EV adoption'!C33</f>
        <v>1564838.63200616</v>
      </c>
      <c r="E18" s="41" t="n">
        <f aca="false">'Fleet projections'!E105*1000000*'EV adoption'!D33</f>
        <v>305882.592670161</v>
      </c>
      <c r="F18" s="41" t="n">
        <f aca="false">'Fleet projections'!F105*1000000*'EV adoption'!E33</f>
        <v>121906.447814882</v>
      </c>
      <c r="G18" s="41" t="n">
        <f aca="false">'Fleet projections'!G105*1000000*'EV adoption'!F33</f>
        <v>3928.33508538573</v>
      </c>
      <c r="H18" s="41" t="n">
        <f aca="false">'Fleet projections'!H105*1000000*'EV adoption'!G33</f>
        <v>2539.50302461205</v>
      </c>
      <c r="I18" s="41" t="n">
        <f aca="false">SUM(C18:H18)</f>
        <v>3922667.86028016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17.9832828043001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10.1198802713672</v>
      </c>
      <c r="L18" s="41" t="n">
        <f aca="false">((D18*Assumptions!$D$7+E18*Assumptions!$D$8)*Assumptions!$B$51+C18*Assumptions!$D$6*Assumptions!$B$56)/Assumptions!$B$52</f>
        <v>1464176.33626194</v>
      </c>
      <c r="M18" s="41" t="n">
        <f aca="false">(D18*Assumptions!$D$7+E18*Assumptions!$D$8)*(1-Assumptions!$B$51)/Assumptions!$B$26</f>
        <v>179425.057650878</v>
      </c>
      <c r="N18" s="41" t="n">
        <f aca="false">(D18*(1-Assumptions!$D$7)+E18*(1-Assumptions!$D$8))/Assumptions!$B$27</f>
        <v>96085.0828394005</v>
      </c>
      <c r="O18" s="41" t="n">
        <f aca="false">(D18+E18)/Assumptions!$B$28</f>
        <v>31178.6870779386</v>
      </c>
      <c r="P18" s="41" t="n">
        <f aca="false">(F18+G18+H18)/Assumptions!$B$29</f>
        <v>51349.7143699519</v>
      </c>
      <c r="Q18" s="41" t="n">
        <f aca="false">C18*(1-Assumptions!$D$6)/Assumptions!$B$30</f>
        <v>3847.14469935794</v>
      </c>
      <c r="R18" s="42" t="n">
        <f aca="false">(L18*Assumptions!$B$53+M18*Assumptions!$B$35+N18*Assumptions!$B$36+O18*Assumptions!$B$37+P18*Assumptions!$B$38+Q18*Assumptions!$B$39)/1000000000</f>
        <v>8.51649496485322</v>
      </c>
      <c r="S18" s="42" t="n">
        <f aca="false">K18*1000000*Assumptions!$B$43/1000000000</f>
        <v>4.55394612211523</v>
      </c>
      <c r="T18" s="42" t="n">
        <f aca="false">R18+S18</f>
        <v>13.0704410869685</v>
      </c>
      <c r="U18" s="42" t="n">
        <f aca="false">J18*Assumptions!$B$59*1000/8760/'Load profile'!X75</f>
        <v>3.7818896423962</v>
      </c>
      <c r="V18" s="42" t="n">
        <f aca="false">(D18+E18)*Assumptions!$B$64*Assumptions!$B$65*Assumptions!$B$66/1000000</f>
        <v>0.392851457182027</v>
      </c>
    </row>
    <row r="19" customFormat="false" ht="15" hidden="false" customHeight="true" outlineLevel="0" collapsed="false">
      <c r="A19" s="5" t="n">
        <v>2040</v>
      </c>
      <c r="B19" s="41" t="n">
        <f aca="false">'Fleet projections'!C48*1000000</f>
        <v>42685879.6881292</v>
      </c>
      <c r="C19" s="41" t="n">
        <f aca="false">'Fleet projections'!C106*1000000*'EV adoption'!B34</f>
        <v>2613249.49344133</v>
      </c>
      <c r="D19" s="41" t="n">
        <f aca="false">'Fleet projections'!D106*1000000*'EV adoption'!C34</f>
        <v>2103130.57678568</v>
      </c>
      <c r="E19" s="41" t="n">
        <f aca="false">'Fleet projections'!E106*1000000*'EV adoption'!D34</f>
        <v>399208.588708673</v>
      </c>
      <c r="F19" s="41" t="n">
        <f aca="false">'Fleet projections'!F106*1000000*'EV adoption'!E34</f>
        <v>157220.791016353</v>
      </c>
      <c r="G19" s="41" t="n">
        <f aca="false">'Fleet projections'!G106*1000000*'EV adoption'!F34</f>
        <v>5125.80897197136</v>
      </c>
      <c r="H19" s="41" t="n">
        <f aca="false">'Fleet projections'!H106*1000000*'EV adoption'!G34</f>
        <v>3312.66202896513</v>
      </c>
      <c r="I19" s="41" t="n">
        <f aca="false">SUM(C19:H19)</f>
        <v>5281247.92095298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23.8014288043404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13.229529149641</v>
      </c>
      <c r="L19" s="41" t="n">
        <f aca="false">((D19*Assumptions!$D$7+E19*Assumptions!$D$8)*Assumptions!$B$51+C19*Assumptions!$D$6*Assumptions!$B$56)/Assumptions!$B$52</f>
        <v>1979335.11184948</v>
      </c>
      <c r="M19" s="41" t="n">
        <f aca="false">(D19*Assumptions!$D$7+E19*Assumptions!$D$8)*(1-Assumptions!$B$51)/Assumptions!$B$26</f>
        <v>240253.701831719</v>
      </c>
      <c r="N19" s="41" t="n">
        <f aca="false">(D19*(1-Assumptions!$D$7)+E19*(1-Assumptions!$D$8))/Assumptions!$B$27</f>
        <v>128443.696513957</v>
      </c>
      <c r="O19" s="41" t="n">
        <f aca="false">(D19+E19)/Assumptions!$B$28</f>
        <v>41705.6527582392</v>
      </c>
      <c r="P19" s="41" t="n">
        <f aca="false">(F19+G19+H19)/Assumptions!$B$29</f>
        <v>66263.7048069159</v>
      </c>
      <c r="Q19" s="41" t="n">
        <f aca="false">C19*(1-Assumptions!$D$6)/Assumptions!$B$30</f>
        <v>5226.49898688266</v>
      </c>
      <c r="R19" s="42" t="n">
        <f aca="false">(L19*Assumptions!$B$53+M19*Assumptions!$B$35+N19*Assumptions!$B$36+O19*Assumptions!$B$37+P19*Assumptions!$B$38+Q19*Assumptions!$B$39)/1000000000</f>
        <v>11.2181883616442</v>
      </c>
      <c r="S19" s="42" t="n">
        <f aca="false">K19*1000000*Assumptions!$B$43/1000000000</f>
        <v>5.95328811733844</v>
      </c>
      <c r="T19" s="42" t="n">
        <f aca="false">R19+S19</f>
        <v>17.1714764789826</v>
      </c>
      <c r="U19" s="42" t="n">
        <f aca="false">J19*Assumptions!$B$59*1000/8760/'Load profile'!Y75</f>
        <v>4.96118696352694</v>
      </c>
      <c r="V19" s="42" t="n">
        <f aca="false">(D19+E19)*Assumptions!$B$64*Assumptions!$B$65*Assumptions!$B$66/1000000</f>
        <v>0.525491224753814</v>
      </c>
    </row>
    <row r="20" customFormat="false" ht="15" hidden="false" customHeight="true" outlineLevel="0" collapsed="false">
      <c r="A20" s="5" t="n">
        <v>2041</v>
      </c>
      <c r="B20" s="41" t="n">
        <f aca="false">'Fleet projections'!C49*1000000</f>
        <v>45583569.6250143</v>
      </c>
      <c r="C20" s="41" t="n">
        <f aca="false">'Fleet projections'!C107*1000000*'EV adoption'!B35</f>
        <v>3514290.1806415</v>
      </c>
      <c r="D20" s="41" t="n">
        <f aca="false">'Fleet projections'!D107*1000000*'EV adoption'!C35</f>
        <v>2809340.50070602</v>
      </c>
      <c r="E20" s="41" t="n">
        <f aca="false">'Fleet projections'!E107*1000000*'EV adoption'!D35</f>
        <v>518345.993776105</v>
      </c>
      <c r="F20" s="41" t="n">
        <f aca="false">'Fleet projections'!F107*1000000*'EV adoption'!E35</f>
        <v>202252.349518611</v>
      </c>
      <c r="G20" s="41" t="n">
        <f aca="false">'Fleet projections'!G107*1000000*'EV adoption'!F35</f>
        <v>6641.03669700826</v>
      </c>
      <c r="H20" s="41" t="n">
        <f aca="false">'Fleet projections'!H107*1000000*'EV adoption'!G35</f>
        <v>4302.43614008149</v>
      </c>
      <c r="I20" s="41" t="n">
        <f aca="false">SUM(C20:H20)</f>
        <v>7055172.49747933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31.351927213419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17.2289991998383</v>
      </c>
      <c r="L20" s="41" t="n">
        <f aca="false">((D20*Assumptions!$D$7+E20*Assumptions!$D$8)*Assumptions!$B$51+C20*Assumptions!$D$6*Assumptions!$B$56)/Assumptions!$B$52</f>
        <v>2652613.08921142</v>
      </c>
      <c r="M20" s="41" t="n">
        <f aca="false">(D20*Assumptions!$D$7+E20*Assumptions!$D$8)*(1-Assumptions!$B$51)/Assumptions!$B$26</f>
        <v>319809.99960381</v>
      </c>
      <c r="N20" s="41" t="n">
        <f aca="false">(D20*(1-Assumptions!$D$7)+E20*(1-Assumptions!$D$8))/Assumptions!$B$27</f>
        <v>170703.874672241</v>
      </c>
      <c r="O20" s="41" t="n">
        <f aca="false">(D20+E20)/Assumptions!$B$28</f>
        <v>55461.4415747021</v>
      </c>
      <c r="P20" s="41" t="n">
        <f aca="false">(F20+G20+H20)/Assumptions!$B$29</f>
        <v>85278.3289422805</v>
      </c>
      <c r="Q20" s="41" t="n">
        <f aca="false">C20*(1-Assumptions!$D$6)/Assumptions!$B$30</f>
        <v>7028.580361283</v>
      </c>
      <c r="R20" s="42" t="n">
        <f aca="false">(L20*Assumptions!$B$53+M20*Assumptions!$B$35+N20*Assumptions!$B$36+O20*Assumptions!$B$37+P20*Assumptions!$B$38+Q20*Assumptions!$B$39)/1000000000</f>
        <v>14.7081493010968</v>
      </c>
      <c r="S20" s="42" t="n">
        <f aca="false">K20*1000000*Assumptions!$B$43/1000000000</f>
        <v>7.75304963992723</v>
      </c>
      <c r="T20" s="42" t="n">
        <f aca="false">R20+S20</f>
        <v>22.4611989410241</v>
      </c>
      <c r="U20" s="42" t="n">
        <f aca="false">J20*Assumptions!$B$59*1000/8760/'Load profile'!Z75</f>
        <v>6.48310875584022</v>
      </c>
      <c r="V20" s="42" t="n">
        <f aca="false">(D20+E20)*Assumptions!$B$64*Assumptions!$B$65*Assumptions!$B$66/1000000</f>
        <v>0.698814163841247</v>
      </c>
    </row>
    <row r="21" customFormat="false" ht="15" hidden="false" customHeight="true" outlineLevel="0" collapsed="false">
      <c r="A21" s="5" t="n">
        <v>2042</v>
      </c>
      <c r="B21" s="41" t="n">
        <f aca="false">'Fleet projections'!C50*1000000</f>
        <v>48677966.4596294</v>
      </c>
      <c r="C21" s="41" t="n">
        <f aca="false">'Fleet projections'!C108*1000000*'EV adoption'!B36</f>
        <v>4668765.03706385</v>
      </c>
      <c r="D21" s="41" t="n">
        <f aca="false">'Fleet projections'!D108*1000000*'EV adoption'!C36</f>
        <v>3724928.30997829</v>
      </c>
      <c r="E21" s="41" t="n">
        <f aca="false">'Fleet projections'!E108*1000000*'EV adoption'!D36</f>
        <v>668977.102148037</v>
      </c>
      <c r="F21" s="41" t="n">
        <f aca="false">'Fleet projections'!F108*1000000*'EV adoption'!E36</f>
        <v>259401.33757896</v>
      </c>
      <c r="G21" s="41" t="n">
        <f aca="false">'Fleet projections'!G108*1000000*'EV adoption'!F36</f>
        <v>8533.35067884613</v>
      </c>
      <c r="H21" s="41" t="n">
        <f aca="false">'Fleet projections'!H108*1000000*'EV adoption'!G36</f>
        <v>5559.1419381678</v>
      </c>
      <c r="I21" s="41" t="n">
        <f aca="false">SUM(C21:H21)</f>
        <v>9336164.27938615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41.0532656325807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22.3310667043199</v>
      </c>
      <c r="L21" s="41" t="n">
        <f aca="false">((D21*Assumptions!$D$7+E21*Assumptions!$D$8)*Assumptions!$B$51+C21*Assumptions!$D$6*Assumptions!$B$56)/Assumptions!$B$52</f>
        <v>3517847.63677693</v>
      </c>
      <c r="M21" s="41" t="n">
        <f aca="false">(D21*Assumptions!$D$7+E21*Assumptions!$D$8)*(1-Assumptions!$B$51)/Assumptions!$B$26</f>
        <v>422666.113658932</v>
      </c>
      <c r="N21" s="41" t="n">
        <f aca="false">(D21*(1-Assumptions!$D$7)+E21*(1-Assumptions!$D$8))/Assumptions!$B$27</f>
        <v>225270.079790883</v>
      </c>
      <c r="O21" s="41" t="n">
        <f aca="false">(D21+E21)/Assumptions!$B$28</f>
        <v>73231.7568687721</v>
      </c>
      <c r="P21" s="41" t="n">
        <f aca="false">(F21+G21+H21)/Assumptions!$B$29</f>
        <v>109397.53207839</v>
      </c>
      <c r="Q21" s="41" t="n">
        <f aca="false">C21*(1-Assumptions!$D$6)/Assumptions!$B$30</f>
        <v>9337.5300741277</v>
      </c>
      <c r="R21" s="42" t="n">
        <f aca="false">(L21*Assumptions!$B$53+M21*Assumptions!$B$35+N21*Assumptions!$B$36+O21*Assumptions!$B$37+P21*Assumptions!$B$38+Q21*Assumptions!$B$39)/1000000000</f>
        <v>19.1712265170839</v>
      </c>
      <c r="S21" s="42" t="n">
        <f aca="false">K21*1000000*Assumptions!$B$43/1000000000</f>
        <v>10.048980016944</v>
      </c>
      <c r="T21" s="42" t="n">
        <f aca="false">R21+S21</f>
        <v>29.2202065340279</v>
      </c>
      <c r="U21" s="42" t="n">
        <f aca="false">J21*Assumptions!$B$59*1000/8760/'Load profile'!AA75</f>
        <v>8.43104326288657</v>
      </c>
      <c r="V21" s="42" t="n">
        <f aca="false">(D21+E21)*Assumptions!$B$64*Assumptions!$B$65*Assumptions!$B$66/1000000</f>
        <v>0.922720136546529</v>
      </c>
    </row>
    <row r="22" customFormat="false" ht="15" hidden="false" customHeight="true" outlineLevel="0" collapsed="false">
      <c r="A22" s="5" t="n">
        <v>2043</v>
      </c>
      <c r="B22" s="41" t="n">
        <f aca="false">'Fleet projections'!C51*1000000</f>
        <v>51982423.4507625</v>
      </c>
      <c r="C22" s="41" t="n">
        <f aca="false">'Fleet projections'!C109*1000000*'EV adoption'!B37</f>
        <v>6114713.75788408</v>
      </c>
      <c r="D22" s="41" t="n">
        <f aca="false">'Fleet projections'!D109*1000000*'EV adoption'!C37</f>
        <v>4895287.2924339</v>
      </c>
      <c r="E22" s="41" t="n">
        <f aca="false">'Fleet projections'!E109*1000000*'EV adoption'!D37</f>
        <v>857305.726895182</v>
      </c>
      <c r="F22" s="41" t="n">
        <f aca="false">'Fleet projections'!F109*1000000*'EV adoption'!E37</f>
        <v>331521.455711041</v>
      </c>
      <c r="G22" s="41" t="n">
        <f aca="false">'Fleet projections'!G109*1000000*'EV adoption'!F37</f>
        <v>10861.4719336146</v>
      </c>
      <c r="H22" s="41" t="n">
        <f aca="false">'Fleet projections'!H109*1000000*'EV adoption'!G37</f>
        <v>7139.46847721147</v>
      </c>
      <c r="I22" s="41" t="n">
        <f aca="false">SUM(C22:H22)</f>
        <v>12216829.173335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53.3700389228955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28.7766799643643</v>
      </c>
      <c r="L22" s="41" t="n">
        <f aca="false">((D22*Assumptions!$D$7+E22*Assumptions!$D$8)*Assumptions!$B$51+C22*Assumptions!$D$6*Assumptions!$B$56)/Assumptions!$B$52</f>
        <v>4608071.52347152</v>
      </c>
      <c r="M22" s="41" t="n">
        <f aca="false">(D22*Assumptions!$D$7+E22*Assumptions!$D$8)*(1-Assumptions!$B$51)/Assumptions!$B$26</f>
        <v>553826.658760528</v>
      </c>
      <c r="N22" s="41" t="n">
        <f aca="false">(D22*(1-Assumptions!$D$7)+E22*(1-Assumptions!$D$8))/Assumptions!$B$27</f>
        <v>294773.865357247</v>
      </c>
      <c r="O22" s="41" t="n">
        <f aca="false">(D22+E22)/Assumptions!$B$28</f>
        <v>95876.5503221513</v>
      </c>
      <c r="P22" s="41" t="n">
        <f aca="false">(F22+G22+H22)/Assumptions!$B$29</f>
        <v>139808.958448747</v>
      </c>
      <c r="Q22" s="41" t="n">
        <f aca="false">C22*(1-Assumptions!$D$6)/Assumptions!$B$30</f>
        <v>12229.4275157682</v>
      </c>
      <c r="R22" s="42" t="n">
        <f aca="false">(L22*Assumptions!$B$53+M22*Assumptions!$B$35+N22*Assumptions!$B$36+O22*Assumptions!$B$37+P22*Assumptions!$B$38+Q22*Assumptions!$B$39)/1000000000</f>
        <v>24.8108819186806</v>
      </c>
      <c r="S22" s="42" t="n">
        <f aca="false">K22*1000000*Assumptions!$B$43/1000000000</f>
        <v>12.9495059839639</v>
      </c>
      <c r="T22" s="42" t="n">
        <f aca="false">R22+S22</f>
        <v>37.7603879026445</v>
      </c>
      <c r="U22" s="42" t="n">
        <f aca="false">J22*Assumptions!$B$59*1000/8760/'Load profile'!AB75</f>
        <v>10.8996328116486</v>
      </c>
      <c r="V22" s="42" t="n">
        <f aca="false">(D22+E22)*Assumptions!$B$64*Assumptions!$B$65*Assumptions!$B$66/1000000</f>
        <v>1.20804453405911</v>
      </c>
    </row>
    <row r="23" customFormat="false" ht="15" hidden="false" customHeight="true" outlineLevel="0" collapsed="false">
      <c r="A23" s="5" t="n">
        <v>2044</v>
      </c>
      <c r="B23" s="41" t="n">
        <f aca="false">'Fleet projections'!C52*1000000</f>
        <v>55511200.3303466</v>
      </c>
      <c r="C23" s="41" t="n">
        <f aca="false">'Fleet projections'!C110*1000000*'EV adoption'!B38</f>
        <v>7879755.72330975</v>
      </c>
      <c r="D23" s="41" t="n">
        <f aca="false">'Fleet projections'!D110*1000000*'EV adoption'!C38</f>
        <v>6366711.14994928</v>
      </c>
      <c r="E23" s="41" t="n">
        <f aca="false">'Fleet projections'!E110*1000000*'EV adoption'!D38</f>
        <v>1089761.76083024</v>
      </c>
      <c r="F23" s="41" t="n">
        <f aca="false">'Fleet projections'!F110*1000000*'EV adoption'!E38</f>
        <v>421937.822562621</v>
      </c>
      <c r="G23" s="41" t="n">
        <f aca="false">'Fleet projections'!G110*1000000*'EV adoption'!F38</f>
        <v>13678.23305082</v>
      </c>
      <c r="H23" s="41" t="n">
        <f aca="false">'Fleet projections'!H110*1000000*'EV adoption'!G38</f>
        <v>9104.72371564516</v>
      </c>
      <c r="I23" s="41" t="n">
        <f aca="false">SUM(C23:H23)</f>
        <v>15780949.4134184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68.7904946605885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36.8284143652477</v>
      </c>
      <c r="L23" s="41" t="n">
        <f aca="false">((D23*Assumptions!$D$7+E23*Assumptions!$D$8)*Assumptions!$B$51+C23*Assumptions!$D$6*Assumptions!$B$56)/Assumptions!$B$52</f>
        <v>5951406.95341503</v>
      </c>
      <c r="M23" s="41" t="n">
        <f aca="false">(D23*Assumptions!$D$7+E23*Assumptions!$D$8)*(1-Assumptions!$B$51)/Assumptions!$B$26</f>
        <v>718403.247057197</v>
      </c>
      <c r="N23" s="41" t="n">
        <f aca="false">(D23*(1-Assumptions!$D$7)+E23*(1-Assumptions!$D$8))/Assumptions!$B$27</f>
        <v>381904.993545895</v>
      </c>
      <c r="O23" s="41" t="n">
        <f aca="false">(D23+E23)/Assumptions!$B$28</f>
        <v>124274.548512992</v>
      </c>
      <c r="P23" s="41" t="n">
        <f aca="false">(F23+G23+H23)/Assumptions!$B$29</f>
        <v>177888.311731635</v>
      </c>
      <c r="Q23" s="41" t="n">
        <f aca="false">C23*(1-Assumptions!$D$6)/Assumptions!$B$30</f>
        <v>15759.5114466195</v>
      </c>
      <c r="R23" s="42" t="n">
        <f aca="false">(L23*Assumptions!$B$53+M23*Assumptions!$B$35+N23*Assumptions!$B$36+O23*Assumptions!$B$37+P23*Assumptions!$B$38+Q23*Assumptions!$B$39)/1000000000</f>
        <v>31.8397993974916</v>
      </c>
      <c r="S23" s="42" t="n">
        <f aca="false">K23*1000000*Assumptions!$B$43/1000000000</f>
        <v>16.5727864643615</v>
      </c>
      <c r="T23" s="42" t="n">
        <f aca="false">R23+S23</f>
        <v>48.412585861853</v>
      </c>
      <c r="U23" s="42" t="n">
        <f aca="false">J23*Assumptions!$B$59*1000/8760/'Load profile'!AC75</f>
        <v>13.9918882632899</v>
      </c>
      <c r="V23" s="42" t="n">
        <f aca="false">(D23+E23)*Assumptions!$B$64*Assumptions!$B$65*Assumptions!$B$66/1000000</f>
        <v>1.5658593112637</v>
      </c>
    </row>
    <row r="24" customFormat="false" ht="15" hidden="false" customHeight="true" outlineLevel="0" collapsed="false">
      <c r="A24" s="5" t="n">
        <v>2045</v>
      </c>
      <c r="B24" s="41" t="n">
        <f aca="false">'Fleet projections'!C53*1000000</f>
        <v>59279524.8385186</v>
      </c>
      <c r="C24" s="41" t="n">
        <f aca="false">'Fleet projections'!C111*1000000*'EV adoption'!B39</f>
        <v>9974764.12396471</v>
      </c>
      <c r="D24" s="41" t="n">
        <f aca="false">'Fleet projections'!D111*1000000*'EV adoption'!C39</f>
        <v>8181854.87323896</v>
      </c>
      <c r="E24" s="41" t="n">
        <f aca="false">'Fleet projections'!E111*1000000*'EV adoption'!D39</f>
        <v>1372565.75385202</v>
      </c>
      <c r="F24" s="41" t="n">
        <f aca="false">'Fleet projections'!F111*1000000*'EV adoption'!E39</f>
        <v>534431.066754104</v>
      </c>
      <c r="G24" s="41" t="n">
        <f aca="false">'Fleet projections'!G111*1000000*'EV adoption'!F39</f>
        <v>17024.5590122625</v>
      </c>
      <c r="H24" s="41" t="n">
        <f aca="false">'Fleet projections'!H111*1000000*'EV adoption'!G39</f>
        <v>11517.8255775143</v>
      </c>
      <c r="I24" s="41" t="n">
        <f aca="false">SUM(C24:H24)</f>
        <v>20092158.2023996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87.7926542531336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46.7600450959344</v>
      </c>
      <c r="L24" s="41" t="n">
        <f aca="false">((D24*Assumptions!$D$7+E24*Assumptions!$D$8)*Assumptions!$B$51+C24*Assumptions!$D$6*Assumptions!$B$56)/Assumptions!$B$52</f>
        <v>7566540.23479819</v>
      </c>
      <c r="M24" s="41" t="n">
        <f aca="false">(D24*Assumptions!$D$7+E24*Assumptions!$D$8)*(1-Assumptions!$B$51)/Assumptions!$B$26</f>
        <v>921127.918862798</v>
      </c>
      <c r="N24" s="41" t="n">
        <f aca="false">(D24*(1-Assumptions!$D$7)+E24*(1-Assumptions!$D$8))/Assumptions!$B$27</f>
        <v>489159.079303316</v>
      </c>
      <c r="O24" s="41" t="n">
        <f aca="false">(D24+E24)/Assumptions!$B$28</f>
        <v>159240.34378485</v>
      </c>
      <c r="P24" s="41" t="n">
        <f aca="false">(F24+G24+H24)/Assumptions!$B$29</f>
        <v>225189.380537552</v>
      </c>
      <c r="Q24" s="41" t="n">
        <f aca="false">C24*(1-Assumptions!$D$6)/Assumptions!$B$30</f>
        <v>19949.5282479294</v>
      </c>
      <c r="R24" s="42" t="n">
        <f aca="false">(L24*Assumptions!$B$53+M24*Assumptions!$B$35+N24*Assumptions!$B$36+O24*Assumptions!$B$37+P24*Assumptions!$B$38+Q24*Assumptions!$B$39)/1000000000</f>
        <v>40.467026002056</v>
      </c>
      <c r="S24" s="42" t="n">
        <f aca="false">K24*1000000*Assumptions!$B$43/1000000000</f>
        <v>21.0420202931705</v>
      </c>
      <c r="T24" s="42" t="n">
        <f aca="false">R24+S24</f>
        <v>61.5090462952265</v>
      </c>
      <c r="U24" s="42" t="n">
        <f aca="false">J24*Assumptions!$B$59*1000/8760/'Load profile'!AD75</f>
        <v>17.8143578199854</v>
      </c>
      <c r="V24" s="42" t="n">
        <f aca="false">(D24+E24)*Assumptions!$B$64*Assumptions!$B$65*Assumptions!$B$66/1000000</f>
        <v>2.00642833168911</v>
      </c>
    </row>
    <row r="25" customFormat="false" ht="15" hidden="false" customHeight="true" outlineLevel="0" collapsed="false">
      <c r="A25" s="5" t="n">
        <v>2046</v>
      </c>
      <c r="B25" s="41" t="n">
        <f aca="false">'Fleet projections'!C54*1000000</f>
        <v>63303658.4359265</v>
      </c>
      <c r="C25" s="41" t="n">
        <f aca="false">'Fleet projections'!C112*1000000*'EV adoption'!B40</f>
        <v>12389727.5953027</v>
      </c>
      <c r="D25" s="41" t="n">
        <f aca="false">'Fleet projections'!D112*1000000*'EV adoption'!C40</f>
        <v>10374111.2704045</v>
      </c>
      <c r="E25" s="41" t="n">
        <f aca="false">'Fleet projections'!E112*1000000*'EV adoption'!D40</f>
        <v>1711180.22934108</v>
      </c>
      <c r="F25" s="41" t="n">
        <f aca="false">'Fleet projections'!F112*1000000*'EV adoption'!E40</f>
        <v>673173.20614712</v>
      </c>
      <c r="G25" s="41" t="n">
        <f aca="false">'Fleet projections'!G112*1000000*'EV adoption'!F40</f>
        <v>20923.8197783061</v>
      </c>
      <c r="H25" s="41" t="n">
        <f aca="false">'Fleet projections'!H112*1000000*'EV adoption'!G40</f>
        <v>14439.0200539452</v>
      </c>
      <c r="I25" s="41" t="n">
        <f aca="false">SUM(C25:H25)</f>
        <v>25183555.1410276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110.802144715209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58.8431017725415</v>
      </c>
      <c r="L25" s="41" t="n">
        <f aca="false">((D25*Assumptions!$D$7+E25*Assumptions!$D$8)*Assumptions!$B$51+C25*Assumptions!$D$6*Assumptions!$B$56)/Assumptions!$B$52</f>
        <v>9458962.80152621</v>
      </c>
      <c r="M25" s="41" t="n">
        <f aca="false">(D25*Assumptions!$D$7+E25*Assumptions!$D$8)*(1-Assumptions!$B$51)/Assumptions!$B$26</f>
        <v>1165749.64424103</v>
      </c>
      <c r="N25" s="41" t="n">
        <f aca="false">(D25*(1-Assumptions!$D$7)+E25*(1-Assumptions!$D$8))/Assumptions!$B$27</f>
        <v>618524.410231786</v>
      </c>
      <c r="O25" s="41" t="n">
        <f aca="false">(D25+E25)/Assumptions!$B$28</f>
        <v>201421.524995759</v>
      </c>
      <c r="P25" s="41" t="n">
        <f aca="false">(F25+G25+H25)/Assumptions!$B$29</f>
        <v>283414.418391748</v>
      </c>
      <c r="Q25" s="41" t="n">
        <f aca="false">C25*(1-Assumptions!$D$6)/Assumptions!$B$30</f>
        <v>24779.4551906053</v>
      </c>
      <c r="R25" s="42" t="n">
        <f aca="false">(L25*Assumptions!$B$53+M25*Assumptions!$B$35+N25*Assumptions!$B$36+O25*Assumptions!$B$37+P25*Assumptions!$B$38+Q25*Assumptions!$B$39)/1000000000</f>
        <v>50.8835200377188</v>
      </c>
      <c r="S25" s="42" t="n">
        <f aca="false">K25*1000000*Assumptions!$B$43/1000000000</f>
        <v>26.4793957976437</v>
      </c>
      <c r="T25" s="42" t="n">
        <f aca="false">R25+S25</f>
        <v>77.3629158353625</v>
      </c>
      <c r="U25" s="42" t="n">
        <f aca="false">J25*Assumptions!$B$59*1000/8760/'Load profile'!AE75</f>
        <v>22.4706191921844</v>
      </c>
      <c r="V25" s="42" t="n">
        <f aca="false">(D25+E25)*Assumptions!$B$64*Assumptions!$B$65*Assumptions!$B$66/1000000</f>
        <v>2.53791121494656</v>
      </c>
    </row>
    <row r="26" customFormat="false" ht="15" hidden="false" customHeight="true" outlineLevel="0" collapsed="false">
      <c r="A26" s="5" t="n">
        <v>2047</v>
      </c>
      <c r="B26" s="41" t="n">
        <f aca="false">'Fleet projections'!C55*1000000</f>
        <v>67600966.4768525</v>
      </c>
      <c r="C26" s="41" t="n">
        <f aca="false">'Fleet projections'!C113*1000000*'EV adoption'!B41</f>
        <v>15093789.7219809</v>
      </c>
      <c r="D26" s="41" t="n">
        <f aca="false">'Fleet projections'!D113*1000000*'EV adoption'!C41</f>
        <v>12961952.3982239</v>
      </c>
      <c r="E26" s="41" t="n">
        <f aca="false">'Fleet projections'!E113*1000000*'EV adoption'!D41</f>
        <v>2109719.02311147</v>
      </c>
      <c r="F26" s="41" t="n">
        <f aca="false">'Fleet projections'!F113*1000000*'EV adoption'!E41</f>
        <v>842602.309704996</v>
      </c>
      <c r="G26" s="41" t="n">
        <f aca="false">'Fleet projections'!G113*1000000*'EV adoption'!F41</f>
        <v>25377.9761614334</v>
      </c>
      <c r="H26" s="41" t="n">
        <f aca="false">'Fleet projections'!H113*1000000*'EV adoption'!G41</f>
        <v>17920.6347682999</v>
      </c>
      <c r="I26" s="41" t="n">
        <f aca="false">SUM(C26:H26)</f>
        <v>31051362.063951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138.148891632073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73.3321196601482</v>
      </c>
      <c r="L26" s="41" t="n">
        <f aca="false">((D26*Assumptions!$D$7+E26*Assumptions!$D$8)*Assumptions!$B$51+C26*Assumptions!$D$6*Assumptions!$B$56)/Assumptions!$B$52</f>
        <v>11619282.5273465</v>
      </c>
      <c r="M26" s="41" t="n">
        <f aca="false">(D26*Assumptions!$D$7+E26*Assumptions!$D$8)*(1-Assumptions!$B$51)/Assumptions!$B$26</f>
        <v>1454424.16655575</v>
      </c>
      <c r="N26" s="41" t="n">
        <f aca="false">(D26*(1-Assumptions!$D$7)+E26*(1-Assumptions!$D$8))/Assumptions!$B$27</f>
        <v>771164.562926029</v>
      </c>
      <c r="O26" s="41" t="n">
        <f aca="false">(D26+E26)/Assumptions!$B$28</f>
        <v>251194.523688922</v>
      </c>
      <c r="P26" s="41" t="n">
        <f aca="false">(F26+G26+H26)/Assumptions!$B$29</f>
        <v>354360.368253892</v>
      </c>
      <c r="Q26" s="41" t="n">
        <f aca="false">C26*(1-Assumptions!$D$6)/Assumptions!$B$30</f>
        <v>30187.5794439618</v>
      </c>
      <c r="R26" s="42" t="n">
        <f aca="false">(L26*Assumptions!$B$53+M26*Assumptions!$B$35+N26*Assumptions!$B$36+O26*Assumptions!$B$37+P26*Assumptions!$B$38+Q26*Assumptions!$B$39)/1000000000</f>
        <v>63.2488807612542</v>
      </c>
      <c r="S26" s="42" t="n">
        <f aca="false">K26*1000000*Assumptions!$B$43/1000000000</f>
        <v>32.9994538470667</v>
      </c>
      <c r="T26" s="42" t="n">
        <f aca="false">R26+S26</f>
        <v>96.2483346083209</v>
      </c>
      <c r="U26" s="42" t="n">
        <f aca="false">J26*Assumptions!$B$59*1000/8760/'Load profile'!AF75</f>
        <v>28.0539364099776</v>
      </c>
      <c r="V26" s="42" t="n">
        <f aca="false">(D26+E26)*Assumptions!$B$64*Assumptions!$B$65*Assumptions!$B$66/1000000</f>
        <v>3.16505099848042</v>
      </c>
    </row>
    <row r="27" customFormat="false" ht="15" hidden="false" customHeight="true" outlineLevel="0" collapsed="false">
      <c r="A27" s="5" t="n">
        <v>2048</v>
      </c>
      <c r="B27" s="41" t="n">
        <f aca="false">'Fleet projections'!C56*1000000</f>
        <v>72189993.1459729</v>
      </c>
      <c r="C27" s="41" t="n">
        <f aca="false">'Fleet projections'!C114*1000000*'EV adoption'!B42</f>
        <v>18040176.5235364</v>
      </c>
      <c r="D27" s="41" t="n">
        <f aca="false">'Fleet projections'!D114*1000000*'EV adoption'!C42</f>
        <v>15944780.8121544</v>
      </c>
      <c r="E27" s="41" t="n">
        <f aca="false">'Fleet projections'!E114*1000000*'EV adoption'!D42</f>
        <v>2570427.26459993</v>
      </c>
      <c r="F27" s="41" t="n">
        <f aca="false">'Fleet projections'!F114*1000000*'EV adoption'!E42</f>
        <v>1047228.6459428</v>
      </c>
      <c r="G27" s="41" t="n">
        <f aca="false">'Fleet projections'!G114*1000000*'EV adoption'!F42</f>
        <v>30366.8022278576</v>
      </c>
      <c r="H27" s="41" t="n">
        <f aca="false">'Fleet projections'!H114*1000000*'EV adoption'!G42</f>
        <v>22001.579188529</v>
      </c>
      <c r="I27" s="41" t="n">
        <f aca="false">SUM(C27:H27)</f>
        <v>37654981.6276499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170.03262306406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90.4506422517434</v>
      </c>
      <c r="L27" s="41" t="n">
        <f aca="false">((D27*Assumptions!$D$7+E27*Assumptions!$D$8)*Assumptions!$B$51+C27*Assumptions!$D$6*Assumptions!$B$56)/Assumptions!$B$52</f>
        <v>14024416.6147374</v>
      </c>
      <c r="M27" s="41" t="n">
        <f aca="false">(D27*Assumptions!$D$7+E27*Assumptions!$D$8)*(1-Assumptions!$B$51)/Assumptions!$B$26</f>
        <v>1787260.12606044</v>
      </c>
      <c r="N27" s="41" t="n">
        <f aca="false">(D27*(1-Assumptions!$D$7)+E27*(1-Assumptions!$D$8))/Assumptions!$B$27</f>
        <v>947180.631042718</v>
      </c>
      <c r="O27" s="41" t="n">
        <f aca="false">(D27+E27)/Assumptions!$B$28</f>
        <v>308586.80127924</v>
      </c>
      <c r="P27" s="41" t="n">
        <f aca="false">(F27+G27+H27)/Assumptions!$B$29</f>
        <v>439838.810943674</v>
      </c>
      <c r="Q27" s="41" t="n">
        <f aca="false">C27*(1-Assumptions!$D$6)/Assumptions!$B$30</f>
        <v>36080.3530470728</v>
      </c>
      <c r="R27" s="42" t="n">
        <f aca="false">(L27*Assumptions!$B$53+M27*Assumptions!$B$35+N27*Assumptions!$B$36+O27*Assumptions!$B$37+P27*Assumptions!$B$38+Q27*Assumptions!$B$39)/1000000000</f>
        <v>77.6819635498191</v>
      </c>
      <c r="S27" s="42" t="n">
        <f aca="false">K27*1000000*Assumptions!$B$43/1000000000</f>
        <v>40.7027890132845</v>
      </c>
      <c r="T27" s="42" t="n">
        <f aca="false">R27+S27</f>
        <v>118.384752563104</v>
      </c>
      <c r="U27" s="42" t="n">
        <f aca="false">J27*Assumptions!$B$59*1000/8760/'Load profile'!AG75</f>
        <v>34.6403791874975</v>
      </c>
      <c r="V27" s="42" t="n">
        <f aca="false">(D27+E27)*Assumptions!$B$64*Assumptions!$B$65*Assumptions!$B$66/1000000</f>
        <v>3.88819369611842</v>
      </c>
    </row>
    <row r="28" customFormat="false" ht="15" hidden="false" customHeight="true" outlineLevel="0" collapsed="false">
      <c r="A28" s="5" t="n">
        <v>2049</v>
      </c>
      <c r="B28" s="41" t="n">
        <f aca="false">'Fleet projections'!C57*1000000</f>
        <v>77090541.482126</v>
      </c>
      <c r="C28" s="41" t="n">
        <f aca="false">'Fleet projections'!C115*1000000*'EV adoption'!B43</f>
        <v>21174791.1949436</v>
      </c>
      <c r="D28" s="41" t="n">
        <f aca="false">'Fleet projections'!D115*1000000*'EV adoption'!C43</f>
        <v>19301832.9280112</v>
      </c>
      <c r="E28" s="41" t="n">
        <f aca="false">'Fleet projections'!E115*1000000*'EV adoption'!D43</f>
        <v>3093362.14927275</v>
      </c>
      <c r="F28" s="41" t="n">
        <f aca="false">'Fleet projections'!F115*1000000*'EV adoption'!E43</f>
        <v>1291376.13089228</v>
      </c>
      <c r="G28" s="41" t="n">
        <f aca="false">'Fleet projections'!G115*1000000*'EV adoption'!F43</f>
        <v>35850.7913779227</v>
      </c>
      <c r="H28" s="41" t="n">
        <f aca="false">'Fleet projections'!H115*1000000*'EV adoption'!G43</f>
        <v>26702.6502485531</v>
      </c>
      <c r="I28" s="41" t="n">
        <f aca="false">SUM(C28:H28)</f>
        <v>44923915.8447462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206.506714350248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110.379682499978</v>
      </c>
      <c r="L28" s="41" t="n">
        <f aca="false">((D28*Assumptions!$D$7+E28*Assumptions!$D$8)*Assumptions!$B$51+C28*Assumptions!$D$6*Assumptions!$B$56)/Assumptions!$B$52</f>
        <v>16641514.8686622</v>
      </c>
      <c r="M28" s="41" t="n">
        <f aca="false">(D28*Assumptions!$D$7+E28*Assumptions!$D$8)*(1-Assumptions!$B$51)/Assumptions!$B$26</f>
        <v>2162185.45399657</v>
      </c>
      <c r="N28" s="41" t="n">
        <f aca="false">(D28*(1-Assumptions!$D$7)+E28*(1-Assumptions!$D$8))/Assumptions!$B$27</f>
        <v>1145537.7717748</v>
      </c>
      <c r="O28" s="41" t="n">
        <f aca="false">(D28+E28)/Assumptions!$B$28</f>
        <v>373253.251288065</v>
      </c>
      <c r="P28" s="41" t="n">
        <f aca="false">(F28+G28+H28)/Assumptions!$B$29</f>
        <v>541571.829007502</v>
      </c>
      <c r="Q28" s="41" t="n">
        <f aca="false">C28*(1-Assumptions!$D$6)/Assumptions!$B$30</f>
        <v>42349.5823898871</v>
      </c>
      <c r="R28" s="42" t="n">
        <f aca="false">(L28*Assumptions!$B$53+M28*Assumptions!$B$35+N28*Assumptions!$B$36+O28*Assumptions!$B$37+P28*Assumptions!$B$38+Q28*Assumptions!$B$39)/1000000000</f>
        <v>94.2569270224304</v>
      </c>
      <c r="S28" s="42" t="n">
        <f aca="false">K28*1000000*Assumptions!$B$43/1000000000</f>
        <v>49.6708571249901</v>
      </c>
      <c r="T28" s="42" t="n">
        <f aca="false">R28+S28</f>
        <v>143.92778414742</v>
      </c>
      <c r="U28" s="42" t="n">
        <f aca="false">J28*Assumptions!$B$59*1000/8760/'Load profile'!AH75</f>
        <v>42.2837742650992</v>
      </c>
      <c r="V28" s="42" t="n">
        <f aca="false">(D28+E28)*Assumptions!$B$64*Assumptions!$B$65*Assumptions!$B$66/1000000</f>
        <v>4.70299096622962</v>
      </c>
    </row>
    <row r="29" customFormat="false" ht="15" hidden="false" customHeight="true" outlineLevel="0" collapsed="false">
      <c r="A29" s="5" t="n">
        <v>2050</v>
      </c>
      <c r="B29" s="41" t="n">
        <f aca="false">'Fleet projections'!C58*1000000</f>
        <v>82323758.8344185</v>
      </c>
      <c r="C29" s="41" t="n">
        <f aca="false">'Fleet projections'!C116*1000000*'EV adoption'!B44</f>
        <v>24445796.8791502</v>
      </c>
      <c r="D29" s="41" t="n">
        <f aca="false">'Fleet projections'!D116*1000000*'EV adoption'!C44</f>
        <v>22994959.5631678</v>
      </c>
      <c r="E29" s="41" t="n">
        <f aca="false">'Fleet projections'!E116*1000000*'EV adoption'!D44</f>
        <v>3676380.50415674</v>
      </c>
      <c r="F29" s="41" t="n">
        <f aca="false">'Fleet projections'!F116*1000000*'EV adoption'!E44</f>
        <v>1578878.90612899</v>
      </c>
      <c r="G29" s="41" t="n">
        <f aca="false">'Fleet projections'!G116*1000000*'EV adoption'!F44</f>
        <v>41777.3303297704</v>
      </c>
      <c r="H29" s="41" t="n">
        <f aca="false">'Fleet projections'!H116*1000000*'EV adoption'!G44</f>
        <v>32023.8140913324</v>
      </c>
      <c r="I29" s="41" t="n">
        <f aca="false">SUM(C29:H29)</f>
        <v>52769816.9970249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247.485442236569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133.249558350844</v>
      </c>
      <c r="L29" s="41" t="n">
        <f aca="false">((D29*Assumptions!$D$7+E29*Assumptions!$D$8)*Assumptions!$B$51+C29*Assumptions!$D$6*Assumptions!$B$56)/Assumptions!$B$52</f>
        <v>19433527.023135</v>
      </c>
      <c r="M29" s="41" t="n">
        <f aca="false">(D29*Assumptions!$D$7+E29*Assumptions!$D$8)*(1-Assumptions!$B$51)/Assumptions!$B$26</f>
        <v>2575224.49412854</v>
      </c>
      <c r="N29" s="41" t="n">
        <f aca="false">(D29*(1-Assumptions!$D$7)+E29*(1-Assumptions!$D$8))/Assumptions!$B$27</f>
        <v>1364203.50756754</v>
      </c>
      <c r="O29" s="41" t="n">
        <f aca="false">(D29+E29)/Assumptions!$B$28</f>
        <v>444522.33445541</v>
      </c>
      <c r="P29" s="41" t="n">
        <f aca="false">(F29+G29+H29)/Assumptions!$B$29</f>
        <v>661072.020220035</v>
      </c>
      <c r="Q29" s="41" t="n">
        <f aca="false">C29*(1-Assumptions!$D$6)/Assumptions!$B$30</f>
        <v>48891.5937583004</v>
      </c>
      <c r="R29" s="42" t="n">
        <f aca="false">(L29*Assumptions!$B$53+M29*Assumptions!$B$35+N29*Assumptions!$B$36+O29*Assumptions!$B$37+P29*Assumptions!$B$38+Q29*Assumptions!$B$39)/1000000000</f>
        <v>113.004569366597</v>
      </c>
      <c r="S29" s="42" t="n">
        <f aca="false">K29*1000000*Assumptions!$B$43/1000000000</f>
        <v>59.9623012578797</v>
      </c>
      <c r="T29" s="42" t="n">
        <f aca="false">R29+S29</f>
        <v>172.966870624477</v>
      </c>
      <c r="U29" s="42" t="n">
        <f aca="false">J29*Assumptions!$B$59*1000/8760/'Load profile'!AI75</f>
        <v>51.0134186601647</v>
      </c>
      <c r="V29" s="42" t="n">
        <f aca="false">(D29+E29)*Assumptions!$B$64*Assumptions!$B$65*Assumptions!$B$66/1000000</f>
        <v>5.60098141413816</v>
      </c>
    </row>
    <row r="30" customFormat="false" ht="15" hidden="false" customHeight="true" outlineLevel="0" collapsed="false">
      <c r="A30" s="5" t="n">
        <v>2051</v>
      </c>
      <c r="B30" s="41" t="n">
        <f aca="false">'Fleet projections'!C59*1000000</f>
        <v>87912228.1194358</v>
      </c>
      <c r="C30" s="41" t="n">
        <f aca="false">'Fleet projections'!C117*1000000*'EV adoption'!B45</f>
        <v>27811398.7581395</v>
      </c>
      <c r="D30" s="41" t="n">
        <f aca="false">'Fleet projections'!D117*1000000*'EV adoption'!C45</f>
        <v>26974866.271166</v>
      </c>
      <c r="E30" s="41" t="n">
        <f aca="false">'Fleet projections'!E117*1000000*'EV adoption'!D45</f>
        <v>4315471.27628469</v>
      </c>
      <c r="F30" s="41" t="n">
        <f aca="false">'Fleet projections'!F117*1000000*'EV adoption'!E45</f>
        <v>1912770.81092705</v>
      </c>
      <c r="G30" s="41" t="n">
        <f aca="false">'Fleet projections'!G117*1000000*'EV adoption'!F45</f>
        <v>48088.7802859584</v>
      </c>
      <c r="H30" s="41" t="n">
        <f aca="false">'Fleet projections'!H117*1000000*'EV adoption'!G45</f>
        <v>37944.3698298592</v>
      </c>
      <c r="I30" s="41" t="n">
        <f aca="false">SUM(C30:H30)</f>
        <v>61100540.2666331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292.772667333429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159.135291719612</v>
      </c>
      <c r="L30" s="41" t="n">
        <f aca="false">((D30*Assumptions!$D$7+E30*Assumptions!$D$8)*Assumptions!$B$51+C30*Assumptions!$D$6*Assumptions!$B$56)/Assumptions!$B$52</f>
        <v>22364910.903016</v>
      </c>
      <c r="M30" s="41" t="n">
        <f aca="false">(D30*Assumptions!$D$7+E30*Assumptions!$D$8)*(1-Assumptions!$B$51)/Assumptions!$B$26</f>
        <v>3021146.97283796</v>
      </c>
      <c r="N30" s="41" t="n">
        <f aca="false">(D30*(1-Assumptions!$D$7)+E30*(1-Assumptions!$D$8))/Assumptions!$B$27</f>
        <v>1600479.13800824</v>
      </c>
      <c r="O30" s="41" t="n">
        <f aca="false">(D30+E30)/Assumptions!$B$28</f>
        <v>521505.625790846</v>
      </c>
      <c r="P30" s="41" t="n">
        <f aca="false">(F30+G30+H30)/Assumptions!$B$29</f>
        <v>799521.584417145</v>
      </c>
      <c r="Q30" s="41" t="n">
        <f aca="false">C30*(1-Assumptions!$D$6)/Assumptions!$B$30</f>
        <v>55622.797516279</v>
      </c>
      <c r="R30" s="42" t="n">
        <f aca="false">(L30*Assumptions!$B$53+M30*Assumptions!$B$35+N30*Assumptions!$B$36+O30*Assumptions!$B$37+P30*Assumptions!$B$38+Q30*Assumptions!$B$39)/1000000000</f>
        <v>133.917461123557</v>
      </c>
      <c r="S30" s="42" t="n">
        <f aca="false">K30*1000000*Assumptions!$B$43/1000000000</f>
        <v>71.6108812738255</v>
      </c>
      <c r="T30" s="42" t="n">
        <f aca="false">R30+S30</f>
        <v>205.528342397383</v>
      </c>
      <c r="U30" s="42" t="n">
        <f aca="false">J30*Assumptions!$B$59*1000/8760/'Load profile'!AJ75</f>
        <v>60.8346990618001</v>
      </c>
      <c r="V30" s="42" t="n">
        <f aca="false">(D30+E30)*Assumptions!$B$64*Assumptions!$B$65*Assumptions!$B$66/1000000</f>
        <v>6.57097088496465</v>
      </c>
    </row>
    <row r="31" customFormat="false" ht="15" hidden="false" customHeight="true" outlineLevel="0" collapsed="false">
      <c r="A31" s="5" t="n">
        <v>2052</v>
      </c>
      <c r="B31" s="41" t="n">
        <f aca="false">'Fleet projections'!C60*1000000</f>
        <v>93880065.273362</v>
      </c>
      <c r="C31" s="41" t="n">
        <f aca="false">'Fleet projections'!C118*1000000*'EV adoption'!B46</f>
        <v>31244186.9329091</v>
      </c>
      <c r="D31" s="41" t="n">
        <f aca="false">'Fleet projections'!D118*1000000*'EV adoption'!C46</f>
        <v>31189213.6374067</v>
      </c>
      <c r="E31" s="41" t="n">
        <f aca="false">'Fleet projections'!E118*1000000*'EV adoption'!D46</f>
        <v>5005380.30593579</v>
      </c>
      <c r="F31" s="41" t="n">
        <f aca="false">'Fleet projections'!F118*1000000*'EV adoption'!E46</f>
        <v>2295019.74074984</v>
      </c>
      <c r="G31" s="41" t="n">
        <f aca="false">'Fleet projections'!G118*1000000*'EV adoption'!F46</f>
        <v>54730.657010465</v>
      </c>
      <c r="H31" s="41" t="n">
        <f aca="false">'Fleet projections'!H118*1000000*'EV adoption'!G46</f>
        <v>44426.2655574024</v>
      </c>
      <c r="I31" s="41" t="n">
        <f aca="false">SUM(C31:H31)</f>
        <v>69832957.5395693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342.103645069856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188.055503464105</v>
      </c>
      <c r="L31" s="41" t="n">
        <f aca="false">((D31*Assumptions!$D$7+E31*Assumptions!$D$8)*Assumptions!$B$51+C31*Assumptions!$D$6*Assumptions!$B$56)/Assumptions!$B$52</f>
        <v>25406203.1491749</v>
      </c>
      <c r="M31" s="41" t="n">
        <f aca="false">(D31*Assumptions!$D$7+E31*Assumptions!$D$8)*(1-Assumptions!$B$51)/Assumptions!$B$26</f>
        <v>3494324.88668586</v>
      </c>
      <c r="N31" s="41" t="n">
        <f aca="false">(D31*(1-Assumptions!$D$7)+E31*(1-Assumptions!$D$8))/Assumptions!$B$27</f>
        <v>1851441.19971659</v>
      </c>
      <c r="O31" s="41" t="n">
        <f aca="false">(D31+E31)/Assumptions!$B$28</f>
        <v>603243.232389042</v>
      </c>
      <c r="P31" s="41" t="n">
        <f aca="false">(F31+G31+H31)/Assumptions!$B$29</f>
        <v>957670.665327085</v>
      </c>
      <c r="Q31" s="41" t="n">
        <f aca="false">C31*(1-Assumptions!$D$6)/Assumptions!$B$30</f>
        <v>62488.3738658182</v>
      </c>
      <c r="R31" s="42" t="n">
        <f aca="false">(L31*Assumptions!$B$53+M31*Assumptions!$B$35+N31*Assumptions!$B$36+O31*Assumptions!$B$37+P31*Assumptions!$B$38+Q31*Assumptions!$B$39)/1000000000</f>
        <v>156.956969745541</v>
      </c>
      <c r="S31" s="42" t="n">
        <f aca="false">K31*1000000*Assumptions!$B$43/1000000000</f>
        <v>84.6249765588474</v>
      </c>
      <c r="T31" s="42" t="n">
        <f aca="false">R31+S31</f>
        <v>241.581946304388</v>
      </c>
      <c r="U31" s="42" t="n">
        <f aca="false">J31*Assumptions!$B$59*1000/8760/'Load profile'!AK75</f>
        <v>71.7320306913453</v>
      </c>
      <c r="V31" s="42" t="n">
        <f aca="false">(D31+E31)*Assumptions!$B$64*Assumptions!$B$65*Assumptions!$B$66/1000000</f>
        <v>7.60086472810193</v>
      </c>
    </row>
    <row r="32" customFormat="false" ht="15" hidden="false" customHeight="true" outlineLevel="0" collapsed="false">
      <c r="A32" s="5" t="n">
        <v>2053</v>
      </c>
      <c r="B32" s="41" t="n">
        <f aca="false">'Fleet projections'!C61*1000000</f>
        <v>100253023.319542</v>
      </c>
      <c r="C32" s="41" t="n">
        <f aca="false">'Fleet projections'!C119*1000000*'EV adoption'!B47</f>
        <v>34731943.3522975</v>
      </c>
      <c r="D32" s="41" t="n">
        <f aca="false">'Fleet projections'!D119*1000000*'EV adoption'!C47</f>
        <v>35590469.1295342</v>
      </c>
      <c r="E32" s="41" t="n">
        <f aca="false">'Fleet projections'!E119*1000000*'EV adoption'!D47</f>
        <v>5740397.25651751</v>
      </c>
      <c r="F32" s="41" t="n">
        <f aca="false">'Fleet projections'!F119*1000000*'EV adoption'!E47</f>
        <v>2726362.61940291</v>
      </c>
      <c r="G32" s="41" t="n">
        <f aca="false">'Fleet projections'!G119*1000000*'EV adoption'!F47</f>
        <v>61658.306852322</v>
      </c>
      <c r="H32" s="41" t="n">
        <f aca="false">'Fleet projections'!H119*1000000*'EV adoption'!G47</f>
        <v>51420.0293614009</v>
      </c>
      <c r="I32" s="41" t="n">
        <f aca="false">SUM(C32:H32)</f>
        <v>78902250.6939659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395.189179230708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219.974958782532</v>
      </c>
      <c r="L32" s="41" t="n">
        <f aca="false">((D32*Assumptions!$D$7+E32*Assumptions!$D$8)*Assumptions!$B$51+C32*Assumptions!$D$6*Assumptions!$B$56)/Assumptions!$B$52</f>
        <v>28536786.456287</v>
      </c>
      <c r="M32" s="41" t="n">
        <f aca="false">(D32*Assumptions!$D$7+E32*Assumptions!$D$8)*(1-Assumptions!$B$51)/Assumptions!$B$26</f>
        <v>3989576.70719224</v>
      </c>
      <c r="N32" s="41" t="n">
        <f aca="false">(D32*(1-Assumptions!$D$7)+E32*(1-Assumptions!$D$8))/Assumptions!$B$27</f>
        <v>2114379.9631069</v>
      </c>
      <c r="O32" s="41" t="n">
        <f aca="false">(D32+E32)/Assumptions!$B$28</f>
        <v>688847.773100862</v>
      </c>
      <c r="P32" s="41" t="n">
        <f aca="false">(F32+G32+H32)/Assumptions!$B$29</f>
        <v>1135776.38224665</v>
      </c>
      <c r="Q32" s="41" t="n">
        <f aca="false">C32*(1-Assumptions!$D$6)/Assumptions!$B$30</f>
        <v>69463.8867045951</v>
      </c>
      <c r="R32" s="42" t="n">
        <f aca="false">(L32*Assumptions!$B$53+M32*Assumptions!$B$35+N32*Assumptions!$B$36+O32*Assumptions!$B$37+P32*Assumptions!$B$38+Q32*Assumptions!$B$39)/1000000000</f>
        <v>182.060792507255</v>
      </c>
      <c r="S32" s="42" t="n">
        <f aca="false">K32*1000000*Assumptions!$B$43/1000000000</f>
        <v>98.9887314521394</v>
      </c>
      <c r="T32" s="42" t="n">
        <f aca="false">R32+S32</f>
        <v>281.049523959394</v>
      </c>
      <c r="U32" s="42" t="n">
        <f aca="false">J32*Assumptions!$B$59*1000/8760/'Load profile'!AL75</f>
        <v>83.6732154942881</v>
      </c>
      <c r="V32" s="42" t="n">
        <f aca="false">(D32+E32)*Assumptions!$B$64*Assumptions!$B$65*Assumptions!$B$66/1000000</f>
        <v>8.67948194107087</v>
      </c>
    </row>
    <row r="33" customFormat="false" ht="15" hidden="false" customHeight="true" outlineLevel="0" collapsed="false">
      <c r="A33" s="5" t="n">
        <v>2054</v>
      </c>
      <c r="B33" s="41" t="n">
        <f aca="false">'Fleet projections'!C62*1000000</f>
        <v>107058603.500572</v>
      </c>
      <c r="C33" s="41" t="n">
        <f aca="false">'Fleet projections'!C120*1000000*'EV adoption'!B48</f>
        <v>38275895.9543836</v>
      </c>
      <c r="D33" s="41" t="n">
        <f aca="false">'Fleet projections'!D120*1000000*'EV adoption'!C48</f>
        <v>40141771.8083091</v>
      </c>
      <c r="E33" s="41" t="n">
        <f aca="false">'Fleet projections'!E120*1000000*'EV adoption'!D48</f>
        <v>6515142.07988058</v>
      </c>
      <c r="F33" s="41" t="n">
        <f aca="false">'Fleet projections'!F120*1000000*'EV adoption'!E48</f>
        <v>3206285.07324888</v>
      </c>
      <c r="G33" s="41" t="n">
        <f aca="false">'Fleet projections'!G120*1000000*'EV adoption'!F48</f>
        <v>68841.1544808572</v>
      </c>
      <c r="H33" s="41" t="n">
        <f aca="false">'Fleet projections'!H120*1000000*'EV adoption'!G48</f>
        <v>58872.1136442094</v>
      </c>
      <c r="I33" s="41" t="n">
        <f aca="false">SUM(C33:H33)</f>
        <v>88266808.1839472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451.753392831381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254.811226349791</v>
      </c>
      <c r="L33" s="41" t="n">
        <f aca="false">((D33*Assumptions!$D$7+E33*Assumptions!$D$8)*Assumptions!$B$51+C33*Assumptions!$D$6*Assumptions!$B$56)/Assumptions!$B$52</f>
        <v>31745823.9202933</v>
      </c>
      <c r="M33" s="41" t="n">
        <f aca="false">(D33*Assumptions!$D$7+E33*Assumptions!$D$8)*(1-Assumptions!$B$51)/Assumptions!$B$26</f>
        <v>4502812.83682195</v>
      </c>
      <c r="N33" s="41" t="n">
        <f aca="false">(D33*(1-Assumptions!$D$7)+E33*(1-Assumptions!$D$8))/Assumptions!$B$27</f>
        <v>2387138.54507515</v>
      </c>
      <c r="O33" s="41" t="n">
        <f aca="false">(D33+E33)/Assumptions!$B$28</f>
        <v>777615.231469828</v>
      </c>
      <c r="P33" s="41" t="n">
        <f aca="false">(F33+G33+H33)/Assumptions!$B$29</f>
        <v>1333599.33654958</v>
      </c>
      <c r="Q33" s="41" t="n">
        <f aca="false">C33*(1-Assumptions!$D$6)/Assumptions!$B$30</f>
        <v>76551.7919087672</v>
      </c>
      <c r="R33" s="42" t="n">
        <f aca="false">(L33*Assumptions!$B$53+M33*Assumptions!$B$35+N33*Assumptions!$B$36+O33*Assumptions!$B$37+P33*Assumptions!$B$38+Q33*Assumptions!$B$39)/1000000000</f>
        <v>209.150554542828</v>
      </c>
      <c r="S33" s="42" t="n">
        <f aca="false">K33*1000000*Assumptions!$B$43/1000000000</f>
        <v>114.665051857406</v>
      </c>
      <c r="T33" s="42" t="n">
        <f aca="false">R33+S33</f>
        <v>323.815606400234</v>
      </c>
      <c r="U33" s="42" t="n">
        <f aca="false">J33*Assumptions!$B$59*1000/8760/'Load profile'!AM75</f>
        <v>96.6144749225779</v>
      </c>
      <c r="V33" s="42" t="n">
        <f aca="false">(D33+E33)*Assumptions!$B$64*Assumptions!$B$65*Assumptions!$B$66/1000000</f>
        <v>9.79795191651983</v>
      </c>
    </row>
    <row r="34" customFormat="false" ht="15" hidden="false" customHeight="true" outlineLevel="0" collapsed="false">
      <c r="A34" s="5" t="n">
        <v>2055</v>
      </c>
      <c r="B34" s="41" t="n">
        <f aca="false">'Fleet projections'!C63*1000000</f>
        <v>114326173.954482</v>
      </c>
      <c r="C34" s="41" t="n">
        <f aca="false">'Fleet projections'!C121*1000000*'EV adoption'!B49</f>
        <v>41887724.2600569</v>
      </c>
      <c r="D34" s="41" t="n">
        <f aca="false">'Fleet projections'!D121*1000000*'EV adoption'!C49</f>
        <v>44820006.8799897</v>
      </c>
      <c r="E34" s="41" t="n">
        <f aca="false">'Fleet projections'!E121*1000000*'EV adoption'!D49</f>
        <v>7325210.032892</v>
      </c>
      <c r="F34" s="41" t="n">
        <f aca="false">'Fleet projections'!F121*1000000*'EV adoption'!E49</f>
        <v>3733163.26429668</v>
      </c>
      <c r="G34" s="41" t="n">
        <f aca="false">'Fleet projections'!G121*1000000*'EV adoption'!F49</f>
        <v>76264.3908221083</v>
      </c>
      <c r="H34" s="41" t="n">
        <f aca="false">'Fleet projections'!H121*1000000*'EV adoption'!G49</f>
        <v>66732.1908643824</v>
      </c>
      <c r="I34" s="41" t="n">
        <f aca="false">SUM(C34:H34)</f>
        <v>97909101.0189218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511.561031018176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292.445814735515</v>
      </c>
      <c r="L34" s="41" t="n">
        <f aca="false">((D34*Assumptions!$D$7+E34*Assumptions!$D$8)*Assumptions!$B$51+C34*Assumptions!$D$6*Assumptions!$B$56)/Assumptions!$B$52</f>
        <v>35031758.1633329</v>
      </c>
      <c r="M34" s="41" t="n">
        <f aca="false">(D34*Assumptions!$D$7+E34*Assumptions!$D$8)*(1-Assumptions!$B$51)/Assumptions!$B$26</f>
        <v>5031391.44046588</v>
      </c>
      <c r="N34" s="41" t="n">
        <f aca="false">(D34*(1-Assumptions!$D$7)+E34*(1-Assumptions!$D$8))/Assumptions!$B$27</f>
        <v>2668304.26258485</v>
      </c>
      <c r="O34" s="41" t="n">
        <f aca="false">(D34+E34)/Assumptions!$B$28</f>
        <v>869086.948548029</v>
      </c>
      <c r="P34" s="41" t="n">
        <f aca="false">(F34+G34+H34)/Assumptions!$B$29</f>
        <v>1550463.93839327</v>
      </c>
      <c r="Q34" s="41" t="n">
        <f aca="false">C34*(1-Assumptions!$D$6)/Assumptions!$B$30</f>
        <v>83775.4485201137</v>
      </c>
      <c r="R34" s="42" t="n">
        <f aca="false">(L34*Assumptions!$B$53+M34*Assumptions!$B$35+N34*Assumptions!$B$36+O34*Assumptions!$B$37+P34*Assumptions!$B$38+Q34*Assumptions!$B$39)/1000000000</f>
        <v>238.139736153191</v>
      </c>
      <c r="S34" s="42" t="n">
        <f aca="false">K34*1000000*Assumptions!$B$43/1000000000</f>
        <v>131.600616630982</v>
      </c>
      <c r="T34" s="42" t="n">
        <f aca="false">R34+S34</f>
        <v>369.740352784173</v>
      </c>
      <c r="U34" s="42" t="n">
        <f aca="false">J34*Assumptions!$B$59*1000/8760/'Load profile'!AN75</f>
        <v>110.505769488871</v>
      </c>
      <c r="V34" s="42" t="n">
        <f aca="false">(D34+E34)*Assumptions!$B$64*Assumptions!$B$65*Assumptions!$B$66/1000000</f>
        <v>10.9504955517052</v>
      </c>
    </row>
    <row r="35" customFormat="false" ht="15" hidden="false" customHeight="true" outlineLevel="0" collapsed="false">
      <c r="A35" s="5" t="n">
        <v>2056</v>
      </c>
      <c r="B35" s="41" t="n">
        <f aca="false">'Fleet projections'!C64*1000000</f>
        <v>122087096.447139</v>
      </c>
      <c r="C35" s="41" t="n">
        <f aca="false">'Fleet projections'!C122*1000000*'EV adoption'!B50</f>
        <v>45586385.1475254</v>
      </c>
      <c r="D35" s="41" t="n">
        <f aca="false">'Fleet projections'!D122*1000000*'EV adoption'!C50</f>
        <v>49616249.4381662</v>
      </c>
      <c r="E35" s="41" t="n">
        <f aca="false">'Fleet projections'!E122*1000000*'EV adoption'!D50</f>
        <v>8167593.63769296</v>
      </c>
      <c r="F35" s="41" t="n">
        <f aca="false">'Fleet projections'!F122*1000000*'EV adoption'!E50</f>
        <v>4304550.70862554</v>
      </c>
      <c r="G35" s="41" t="n">
        <f aca="false">'Fleet projections'!G122*1000000*'EV adoption'!F50</f>
        <v>83928.5665532344</v>
      </c>
      <c r="H35" s="41" t="n">
        <f aca="false">'Fleet projections'!H122*1000000*'EV adoption'!G50</f>
        <v>74959.146789606</v>
      </c>
      <c r="I35" s="41" t="n">
        <f aca="false">SUM(C35:H35)</f>
        <v>107833666.645353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574.434541446621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332.739436193434</v>
      </c>
      <c r="L35" s="41" t="n">
        <f aca="false">((D35*Assumptions!$D$7+E35*Assumptions!$D$8)*Assumptions!$B$51+C35*Assumptions!$D$6*Assumptions!$B$56)/Assumptions!$B$52</f>
        <v>38400937.0803648</v>
      </c>
      <c r="M35" s="41" t="n">
        <f aca="false">(D35*Assumptions!$D$7+E35*Assumptions!$D$8)*(1-Assumptions!$B$51)/Assumptions!$B$26</f>
        <v>5574194.4666436</v>
      </c>
      <c r="N35" s="41" t="n">
        <f aca="false">(D35*(1-Assumptions!$D$7)+E35*(1-Assumptions!$D$8))/Assumptions!$B$27</f>
        <v>2957255.43410707</v>
      </c>
      <c r="O35" s="41" t="n">
        <f aca="false">(D35+E35)/Assumptions!$B$28</f>
        <v>963064.05126432</v>
      </c>
      <c r="P35" s="41" t="n">
        <f aca="false">(F35+G35+H35)/Assumptions!$B$29</f>
        <v>1785375.36878735</v>
      </c>
      <c r="Q35" s="41" t="n">
        <f aca="false">C35*(1-Assumptions!$D$6)/Assumptions!$B$30</f>
        <v>91172.7702950508</v>
      </c>
      <c r="R35" s="42" t="n">
        <f aca="false">(L35*Assumptions!$B$53+M35*Assumptions!$B$35+N35*Assumptions!$B$36+O35*Assumptions!$B$37+P35*Assumptions!$B$38+Q35*Assumptions!$B$39)/1000000000</f>
        <v>268.942282773358</v>
      </c>
      <c r="S35" s="42" t="n">
        <f aca="false">K35*1000000*Assumptions!$B$43/1000000000</f>
        <v>149.732746287045</v>
      </c>
      <c r="T35" s="42" t="n">
        <f aca="false">R35+S35</f>
        <v>418.675029060403</v>
      </c>
      <c r="U35" s="42" t="n">
        <f aca="false">J35*Assumptions!$B$59*1000/8760/'Load profile'!AO75</f>
        <v>125.296248955803</v>
      </c>
      <c r="V35" s="42" t="n">
        <f aca="false">(D35+E35)*Assumptions!$B$64*Assumptions!$B$65*Assumptions!$B$66/1000000</f>
        <v>12.1346070459304</v>
      </c>
    </row>
    <row r="36" customFormat="false" ht="15" hidden="false" customHeight="true" outlineLevel="0" collapsed="false">
      <c r="A36" s="5" t="n">
        <v>2057</v>
      </c>
      <c r="B36" s="41" t="n">
        <f aca="false">'Fleet projections'!C65*1000000</f>
        <v>130374861.707762</v>
      </c>
      <c r="C36" s="41" t="n">
        <f aca="false">'Fleet projections'!C123*1000000*'EV adoption'!B51</f>
        <v>49395389.1485562</v>
      </c>
      <c r="D36" s="41" t="n">
        <f aca="false">'Fleet projections'!D123*1000000*'EV adoption'!C51</f>
        <v>54534335.6563176</v>
      </c>
      <c r="E36" s="41" t="n">
        <f aca="false">'Fleet projections'!E123*1000000*'EV adoption'!D51</f>
        <v>9040868.02195858</v>
      </c>
      <c r="F36" s="41" t="n">
        <f aca="false">'Fleet projections'!F123*1000000*'EV adoption'!E51</f>
        <v>4917561.61058691</v>
      </c>
      <c r="G36" s="41" t="n">
        <f aca="false">'Fleet projections'!G123*1000000*'EV adoption'!F51</f>
        <v>91847.8295365171</v>
      </c>
      <c r="H36" s="41" t="n">
        <f aca="false">'Fleet projections'!H123*1000000*'EV adoption'!G51</f>
        <v>83525.045444551</v>
      </c>
      <c r="I36" s="41" t="n">
        <f aca="false">SUM(C36:H36)</f>
        <v>118063527.3124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640.263425564998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375.549987372017</v>
      </c>
      <c r="L36" s="41" t="n">
        <f aca="false">((D36*Assumptions!$D$7+E36*Assumptions!$D$8)*Assumptions!$B$51+C36*Assumptions!$D$6*Assumptions!$B$56)/Assumptions!$B$52</f>
        <v>41865890.8426583</v>
      </c>
      <c r="M36" s="41" t="n">
        <f aca="false">(D36*Assumptions!$D$7+E36*Assumptions!$D$8)*(1-Assumptions!$B$51)/Assumptions!$B$26</f>
        <v>6131498.66727866</v>
      </c>
      <c r="N36" s="41" t="n">
        <f aca="false">(D36*(1-Assumptions!$D$7)+E36*(1-Assumptions!$D$8))/Assumptions!$B$27</f>
        <v>3254100.75076346</v>
      </c>
      <c r="O36" s="41" t="n">
        <f aca="false">(D36+E36)/Assumptions!$B$28</f>
        <v>1059586.72797127</v>
      </c>
      <c r="P36" s="41" t="n">
        <f aca="false">(F36+G36+H36)/Assumptions!$B$29</f>
        <v>2037173.79422719</v>
      </c>
      <c r="Q36" s="41" t="n">
        <f aca="false">C36*(1-Assumptions!$D$6)/Assumptions!$B$30</f>
        <v>98790.7782971123</v>
      </c>
      <c r="R36" s="42" t="n">
        <f aca="false">(L36*Assumptions!$B$53+M36*Assumptions!$B$35+N36*Assumptions!$B$36+O36*Assumptions!$B$37+P36*Assumptions!$B$38+Q36*Assumptions!$B$39)/1000000000</f>
        <v>301.481795250369</v>
      </c>
      <c r="S36" s="42" t="n">
        <f aca="false">K36*1000000*Assumptions!$B$43/1000000000</f>
        <v>168.997494317408</v>
      </c>
      <c r="T36" s="42" t="n">
        <f aca="false">R36+S36</f>
        <v>470.479289567777</v>
      </c>
      <c r="U36" s="42" t="n">
        <f aca="false">J36*Assumptions!$B$59*1000/8760/'Load profile'!AP75</f>
        <v>140.939656994546</v>
      </c>
      <c r="V36" s="42" t="n">
        <f aca="false">(D36+E36)*Assumptions!$B$64*Assumptions!$B$65*Assumptions!$B$66/1000000</f>
        <v>13.350792772438</v>
      </c>
    </row>
    <row r="37" customFormat="false" ht="15" hidden="false" customHeight="true" outlineLevel="0" collapsed="false">
      <c r="A37" s="5" t="n">
        <v>2058</v>
      </c>
      <c r="B37" s="41" t="n">
        <f aca="false">'Fleet projections'!C66*1000000</f>
        <v>139225233.951547</v>
      </c>
      <c r="C37" s="41" t="n">
        <f aca="false">'Fleet projections'!C124*1000000*'EV adoption'!B52</f>
        <v>53340767.6560426</v>
      </c>
      <c r="D37" s="41" t="n">
        <f aca="false">'Fleet projections'!D124*1000000*'EV adoption'!C52</f>
        <v>59588471.6564806</v>
      </c>
      <c r="E37" s="41" t="n">
        <f aca="false">'Fleet projections'!E124*1000000*'EV adoption'!D52</f>
        <v>9945178.14046419</v>
      </c>
      <c r="F37" s="41" t="n">
        <f aca="false">'Fleet projections'!F124*1000000*'EV adoption'!E52</f>
        <v>5569284.80509271</v>
      </c>
      <c r="G37" s="41" t="n">
        <f aca="false">'Fleet projections'!G124*1000000*'EV adoption'!F52</f>
        <v>100047.535420666</v>
      </c>
      <c r="H37" s="41" t="n">
        <f aca="false">'Fleet projections'!H124*1000000*'EV adoption'!G52</f>
        <v>92416.9390528228</v>
      </c>
      <c r="I37" s="41" t="n">
        <f aca="false">SUM(C37:H37)</f>
        <v>128636166.732554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709.008518444327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420.750979671478</v>
      </c>
      <c r="L37" s="41" t="n">
        <f aca="false">((D37*Assumptions!$D$7+E37*Assumptions!$D$8)*Assumptions!$B$51+C37*Assumptions!$D$6*Assumptions!$B$56)/Assumptions!$B$52</f>
        <v>45443643.3013333</v>
      </c>
      <c r="M37" s="41" t="n">
        <f aca="false">(D37*Assumptions!$D$7+E37*Assumptions!$D$8)*(1-Assumptions!$B$51)/Assumptions!$B$26</f>
        <v>6704735.52618287</v>
      </c>
      <c r="N37" s="41" t="n">
        <f aca="false">(D37*(1-Assumptions!$D$7)+E37*(1-Assumptions!$D$8))/Assumptions!$B$27</f>
        <v>3559558.97435111</v>
      </c>
      <c r="O37" s="41" t="n">
        <f aca="false">(D37+E37)/Assumptions!$B$28</f>
        <v>1158894.16328241</v>
      </c>
      <c r="P37" s="41" t="n">
        <f aca="false">(F37+G37+H37)/Assumptions!$B$29</f>
        <v>2304699.71182648</v>
      </c>
      <c r="Q37" s="41" t="n">
        <f aca="false">C37*(1-Assumptions!$D$6)/Assumptions!$B$30</f>
        <v>106681.535312085</v>
      </c>
      <c r="R37" s="42" t="n">
        <f aca="false">(L37*Assumptions!$B$53+M37*Assumptions!$B$35+N37*Assumptions!$B$36+O37*Assumptions!$B$37+P37*Assumptions!$B$38+Q37*Assumptions!$B$39)/1000000000</f>
        <v>335.700598153485</v>
      </c>
      <c r="S37" s="42" t="n">
        <f aca="false">K37*1000000*Assumptions!$B$43/1000000000</f>
        <v>189.337940852165</v>
      </c>
      <c r="T37" s="42" t="n">
        <f aca="false">R37+S37</f>
        <v>525.03853900565</v>
      </c>
      <c r="U37" s="42" t="n">
        <f aca="false">J37*Assumptions!$B$59*1000/8760/'Load profile'!AQ75</f>
        <v>157.399353394643</v>
      </c>
      <c r="V37" s="42" t="n">
        <f aca="false">(D37+E37)*Assumptions!$B$64*Assumptions!$B$65*Assumptions!$B$66/1000000</f>
        <v>14.6020664573584</v>
      </c>
    </row>
    <row r="38" customFormat="false" ht="15" hidden="false" customHeight="true" outlineLevel="0" collapsed="false">
      <c r="A38" s="5" t="n">
        <v>2059</v>
      </c>
      <c r="B38" s="41" t="n">
        <f aca="false">'Fleet projections'!C67*1000000</f>
        <v>148676405.213085</v>
      </c>
      <c r="C38" s="41" t="n">
        <f aca="false">'Fleet projections'!C125*1000000*'EV adoption'!B53</f>
        <v>57449723.5262549</v>
      </c>
      <c r="D38" s="41" t="n">
        <f aca="false">'Fleet projections'!D125*1000000*'EV adoption'!C53</f>
        <v>64800632.3989213</v>
      </c>
      <c r="E38" s="41" t="n">
        <f aca="false">'Fleet projections'!E125*1000000*'EV adoption'!D53</f>
        <v>10882091.8786098</v>
      </c>
      <c r="F38" s="41" t="n">
        <f aca="false">'Fleet projections'!F125*1000000*'EV adoption'!E53</f>
        <v>6257163.5500084</v>
      </c>
      <c r="G38" s="41" t="n">
        <f aca="false">'Fleet projections'!G125*1000000*'EV adoption'!F53</f>
        <v>108561.790537602</v>
      </c>
      <c r="H38" s="41" t="n">
        <f aca="false">'Fleet projections'!H125*1000000*'EV adoption'!G53</f>
        <v>101636.857217905</v>
      </c>
      <c r="I38" s="41" t="n">
        <f aca="false">SUM(C38:H38)</f>
        <v>139599810.00155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780.702975005557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468.247948071439</v>
      </c>
      <c r="L38" s="41" t="n">
        <f aca="false">((D38*Assumptions!$D$7+E38*Assumptions!$D$8)*Assumptions!$B$51+C38*Assumptions!$D$6*Assumptions!$B$56)/Assumptions!$B$52</f>
        <v>49154278.1293335</v>
      </c>
      <c r="M38" s="41" t="n">
        <f aca="false">(D38*Assumptions!$D$7+E38*Assumptions!$D$8)*(1-Assumptions!$B$51)/Assumptions!$B$26</f>
        <v>7296220.13078787</v>
      </c>
      <c r="N38" s="41" t="n">
        <f aca="false">(D38*(1-Assumptions!$D$7)+E38*(1-Assumptions!$D$8))/Assumptions!$B$27</f>
        <v>3874820.31286497</v>
      </c>
      <c r="O38" s="41" t="n">
        <f aca="false">(D38+E38)/Assumptions!$B$28</f>
        <v>1261378.73795885</v>
      </c>
      <c r="P38" s="41" t="n">
        <f aca="false">(F38+G38+H38)/Assumptions!$B$29</f>
        <v>2586944.87910556</v>
      </c>
      <c r="Q38" s="41" t="n">
        <f aca="false">C38*(1-Assumptions!$D$6)/Assumptions!$B$30</f>
        <v>114899.44705251</v>
      </c>
      <c r="R38" s="42" t="n">
        <f aca="false">(L38*Assumptions!$B$53+M38*Assumptions!$B$35+N38*Assumptions!$B$36+O38*Assumptions!$B$37+P38*Assumptions!$B$38+Q38*Assumptions!$B$39)/1000000000</f>
        <v>371.567649322894</v>
      </c>
      <c r="S38" s="42" t="n">
        <f aca="false">K38*1000000*Assumptions!$B$43/1000000000</f>
        <v>210.711576632148</v>
      </c>
      <c r="T38" s="42" t="n">
        <f aca="false">R38+S38</f>
        <v>582.279225955042</v>
      </c>
      <c r="U38" s="42" t="n">
        <f aca="false">J38*Assumptions!$B$59*1000/8760/'Load profile'!AR75</f>
        <v>174.652509313202</v>
      </c>
      <c r="V38" s="42" t="n">
        <f aca="false">(D38+E38)*Assumptions!$B$64*Assumptions!$B$65*Assumptions!$B$66/1000000</f>
        <v>15.8933720982815</v>
      </c>
    </row>
    <row r="39" customFormat="false" ht="15" hidden="false" customHeight="true" outlineLevel="0" collapsed="false">
      <c r="A39" s="5" t="n">
        <v>2060</v>
      </c>
      <c r="B39" s="41" t="n">
        <f aca="false">'Fleet projections'!C68*1000000</f>
        <v>158769160.156543</v>
      </c>
      <c r="C39" s="41" t="n">
        <f aca="false">'Fleet projections'!C126*1000000*'EV adoption'!B54</f>
        <v>61749842.4256724</v>
      </c>
      <c r="D39" s="41" t="n">
        <f aca="false">'Fleet projections'!D126*1000000*'EV adoption'!C54</f>
        <v>70198226.8662541</v>
      </c>
      <c r="E39" s="41" t="n">
        <f aca="false">'Fleet projections'!E126*1000000*'EV adoption'!D54</f>
        <v>11854384.6338687</v>
      </c>
      <c r="F39" s="41" t="n">
        <f aca="false">'Fleet projections'!F126*1000000*'EV adoption'!E54</f>
        <v>6979293.37440058</v>
      </c>
      <c r="G39" s="41" t="n">
        <f aca="false">'Fleet projections'!G126*1000000*'EV adoption'!F54</f>
        <v>117431.272044143</v>
      </c>
      <c r="H39" s="41" t="n">
        <f aca="false">'Fleet projections'!H126*1000000*'EV adoption'!G54</f>
        <v>111200.541323856</v>
      </c>
      <c r="I39" s="41" t="n">
        <f aca="false">SUM(C39:H39)</f>
        <v>151010379.113564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855.450843601119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517.990897235398</v>
      </c>
      <c r="L39" s="41" t="n">
        <f aca="false">((D39*Assumptions!$D$7+E39*Assumptions!$D$8)*Assumptions!$B$51+C39*Assumptions!$D$6*Assumptions!$B$56)/Assumptions!$B$52</f>
        <v>53019845.5084998</v>
      </c>
      <c r="M39" s="41" t="n">
        <f aca="false">(D39*Assumptions!$D$7+E39*Assumptions!$D$8)*(1-Assumptions!$B$51)/Assumptions!$B$26</f>
        <v>7908901.53416556</v>
      </c>
      <c r="N39" s="41" t="n">
        <f aca="false">(D39*(1-Assumptions!$D$7)+E39*(1-Assumptions!$D$8))/Assumptions!$B$27</f>
        <v>4201417.11362171</v>
      </c>
      <c r="O39" s="41" t="n">
        <f aca="false">(D39+E39)/Assumptions!$B$28</f>
        <v>1367543.52500205</v>
      </c>
      <c r="P39" s="41" t="n">
        <f aca="false">(F39+G39+H39)/Assumptions!$B$29</f>
        <v>2883170.07510743</v>
      </c>
      <c r="Q39" s="41" t="n">
        <f aca="false">C39*(1-Assumptions!$D$6)/Assumptions!$B$30</f>
        <v>123499.684851345</v>
      </c>
      <c r="R39" s="42" t="n">
        <f aca="false">(L39*Assumptions!$B$53+M39*Assumptions!$B$35+N39*Assumptions!$B$36+O39*Assumptions!$B$37+P39*Assumptions!$B$38+Q39*Assumptions!$B$39)/1000000000</f>
        <v>409.084355485083</v>
      </c>
      <c r="S39" s="42" t="n">
        <f aca="false">K39*1000000*Assumptions!$B$43/1000000000</f>
        <v>233.095903755929</v>
      </c>
      <c r="T39" s="42" t="n">
        <f aca="false">R39+S39</f>
        <v>642.180259241012</v>
      </c>
      <c r="U39" s="42" t="n">
        <f aca="false">J39*Assumptions!$B$59*1000/8760/'Load profile'!AS75</f>
        <v>192.693089014307</v>
      </c>
      <c r="V39" s="42" t="n">
        <f aca="false">(D39+E39)*Assumptions!$B$64*Assumptions!$B$65*Assumptions!$B$66/1000000</f>
        <v>17.2310484150258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280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projections'!D33*1000000</f>
        <v>15994878.9279976</v>
      </c>
      <c r="C4" s="41" t="n">
        <f aca="false">'Fleet projections'!C146*1000000*'EV adoption'!B19</f>
        <v>17574.8908237381</v>
      </c>
      <c r="D4" s="41" t="n">
        <f aca="false">'Fleet projections'!D146*1000000*'EV adoption'!C19</f>
        <v>19469.9413525271</v>
      </c>
      <c r="E4" s="41" t="n">
        <f aca="false">'Fleet projections'!E146*1000000*'EV adoption'!D19</f>
        <v>5846.23666895012</v>
      </c>
      <c r="F4" s="41" t="n">
        <f aca="false">'Fleet projections'!F146*1000000*'EV adoption'!E19</f>
        <v>3086.15097847145</v>
      </c>
      <c r="G4" s="41" t="n">
        <f aca="false">'Fleet projections'!G146*1000000*'EV adoption'!F19</f>
        <v>68.5502590186376</v>
      </c>
      <c r="H4" s="41" t="n">
        <f aca="false">'Fleet projections'!H146*1000000*'EV adoption'!G19</f>
        <v>50.6486554745135</v>
      </c>
      <c r="I4" s="41" t="n">
        <f aca="false">SUM(C4:H4)</f>
        <v>46096.4187381799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0.306739127384335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0.21203265492727</v>
      </c>
      <c r="L4" s="41" t="n">
        <f aca="false">((D4*Assumptions!$D$7+E4*Assumptions!$D$8)*Assumptions!$B$51+C4*Assumptions!$D$6*Assumptions!$B$56)/Assumptions!$B$52</f>
        <v>15466.7386910561</v>
      </c>
      <c r="M4" s="41" t="n">
        <f aca="false">(D4*Assumptions!$D$7+E4*Assumptions!$D$8)*(1-Assumptions!$B$51)/Assumptions!$B$26</f>
        <v>2385.46188542397</v>
      </c>
      <c r="N4" s="41" t="n">
        <f aca="false">(D4*(1-Assumptions!$D$7)+E4*(1-Assumptions!$D$8))/Assumptions!$B$27</f>
        <v>1314.52753998178</v>
      </c>
      <c r="O4" s="41" t="n">
        <f aca="false">(D4+E4)/Assumptions!$B$28</f>
        <v>421.936300357953</v>
      </c>
      <c r="P4" s="41" t="n">
        <f aca="false">(F4+G4+H4)/Assumptions!$B$29</f>
        <v>1282.13995718584</v>
      </c>
      <c r="Q4" s="41" t="n">
        <f aca="false">C4*(1-Assumptions!$D$6)/Assumptions!$B$30</f>
        <v>35.1497816474761</v>
      </c>
      <c r="R4" s="42" t="n">
        <f aca="false">(L4*Assumptions!$B$53+M4*Assumptions!$B$35+N4*Assumptions!$B$36+O4*Assumptions!$B$37+P4*Assumptions!$B$38+Q4*Assumptions!$B$39)/1000000000</f>
        <v>0.158392258493347</v>
      </c>
      <c r="S4" s="42" t="n">
        <f aca="false">K4*1000000*Assumptions!$B$43/1000000000</f>
        <v>0.0954146947172715</v>
      </c>
      <c r="T4" s="42" t="n">
        <f aca="false">R4+S4</f>
        <v>0.253806953210619</v>
      </c>
      <c r="U4" s="42" t="n">
        <f aca="false">J4*Assumptions!$B$59*1000/8760/'Load profile'!J75</f>
        <v>0.0753019874938515</v>
      </c>
      <c r="V4" s="42" t="n">
        <f aca="false">(D4+E4)*Assumptions!$B$64*Assumptions!$B$65*Assumptions!$B$66/1000000</f>
        <v>0.00531639738451021</v>
      </c>
    </row>
    <row r="5" customFormat="false" ht="15" hidden="false" customHeight="true" outlineLevel="0" collapsed="false">
      <c r="A5" s="5" t="n">
        <v>2026</v>
      </c>
      <c r="B5" s="41" t="n">
        <f aca="false">'Fleet projections'!D34*1000000</f>
        <v>17136044.0448463</v>
      </c>
      <c r="C5" s="41" t="n">
        <f aca="false">'Fleet projections'!C147*1000000*'EV adoption'!B20</f>
        <v>24865.8748699838</v>
      </c>
      <c r="D5" s="41" t="n">
        <f aca="false">'Fleet projections'!D147*1000000*'EV adoption'!C20</f>
        <v>26870.5578395904</v>
      </c>
      <c r="E5" s="41" t="n">
        <f aca="false">'Fleet projections'!E147*1000000*'EV adoption'!D20</f>
        <v>7827.03358025239</v>
      </c>
      <c r="F5" s="41" t="n">
        <f aca="false">'Fleet projections'!F147*1000000*'EV adoption'!E20</f>
        <v>4039.248426164</v>
      </c>
      <c r="G5" s="41" t="n">
        <f aca="false">'Fleet projections'!G147*1000000*'EV adoption'!F20</f>
        <v>92.5767771409192</v>
      </c>
      <c r="H5" s="41" t="n">
        <f aca="false">'Fleet projections'!H147*1000000*'EV adoption'!G20</f>
        <v>67.5472329096404</v>
      </c>
      <c r="I5" s="41" t="n">
        <f aca="false">SUM(C5:H5)</f>
        <v>63762.8387260411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0.411800368298988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0.280528055850384</v>
      </c>
      <c r="L5" s="41" t="n">
        <f aca="false">((D5*Assumptions!$D$7+E5*Assumptions!$D$8)*Assumptions!$B$51+C5*Assumptions!$D$6*Assumptions!$B$56)/Assumptions!$B$52</f>
        <v>21600.3706819302</v>
      </c>
      <c r="M5" s="41" t="n">
        <f aca="false">(D5*Assumptions!$D$7+E5*Assumptions!$D$8)*(1-Assumptions!$B$51)/Assumptions!$B$26</f>
        <v>3274.08330247797</v>
      </c>
      <c r="N5" s="41" t="n">
        <f aca="false">(D5*(1-Assumptions!$D$7)+E5*(1-Assumptions!$D$8))/Assumptions!$B$27</f>
        <v>1800.10485082757</v>
      </c>
      <c r="O5" s="41" t="n">
        <f aca="false">(D5+E5)/Assumptions!$B$28</f>
        <v>578.293190330713</v>
      </c>
      <c r="P5" s="41" t="n">
        <f aca="false">(F5+G5+H5)/Assumptions!$B$29</f>
        <v>1679.74897448582</v>
      </c>
      <c r="Q5" s="41" t="n">
        <f aca="false">C5*(1-Assumptions!$D$6)/Assumptions!$B$30</f>
        <v>49.7317497399676</v>
      </c>
      <c r="R5" s="42" t="n">
        <f aca="false">(L5*Assumptions!$B$53+M5*Assumptions!$B$35+N5*Assumptions!$B$36+O5*Assumptions!$B$37+P5*Assumptions!$B$38+Q5*Assumptions!$B$39)/1000000000</f>
        <v>0.211122676478128</v>
      </c>
      <c r="S5" s="42" t="n">
        <f aca="false">K5*1000000*Assumptions!$B$43/1000000000</f>
        <v>0.126237625132673</v>
      </c>
      <c r="T5" s="42" t="n">
        <f aca="false">R5+S5</f>
        <v>0.3373603016108</v>
      </c>
      <c r="U5" s="42" t="n">
        <f aca="false">J5*Assumptions!$B$59*1000/8760/'Load profile'!K75</f>
        <v>0.0999807916077088</v>
      </c>
      <c r="V5" s="42" t="n">
        <f aca="false">(D5+E5)*Assumptions!$B$64*Assumptions!$B$65*Assumptions!$B$66/1000000</f>
        <v>0.00728649419816698</v>
      </c>
    </row>
    <row r="6" customFormat="false" ht="15" hidden="false" customHeight="true" outlineLevel="0" collapsed="false">
      <c r="A6" s="5" t="n">
        <v>2027</v>
      </c>
      <c r="B6" s="41" t="n">
        <f aca="false">'Fleet projections'!D35*1000000</f>
        <v>18350445.7084773</v>
      </c>
      <c r="C6" s="41" t="n">
        <f aca="false">'Fleet projections'!C148*1000000*'EV adoption'!B21</f>
        <v>35155.8321780132</v>
      </c>
      <c r="D6" s="41" t="n">
        <f aca="false">'Fleet projections'!D148*1000000*'EV adoption'!C21</f>
        <v>37059.58628144</v>
      </c>
      <c r="E6" s="41" t="n">
        <f aca="false">'Fleet projections'!E148*1000000*'EV adoption'!D21</f>
        <v>10471.3336425629</v>
      </c>
      <c r="F6" s="41" t="n">
        <f aca="false">'Fleet projections'!F148*1000000*'EV adoption'!E21</f>
        <v>5283.42071519988</v>
      </c>
      <c r="G6" s="41" t="n">
        <f aca="false">'Fleet projections'!G148*1000000*'EV adoption'!F21</f>
        <v>124.921778229937</v>
      </c>
      <c r="H6" s="41" t="n">
        <f aca="false">'Fleet projections'!H148*1000000*'EV adoption'!G21</f>
        <v>90.0217111704629</v>
      </c>
      <c r="I6" s="41" t="n">
        <f aca="false">SUM(C6:H6)</f>
        <v>88185.1163066164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0.552868004219897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0.371101079525391</v>
      </c>
      <c r="L6" s="41" t="n">
        <f aca="false">((D6*Assumptions!$D$7+E6*Assumptions!$D$8)*Assumptions!$B$51+C6*Assumptions!$D$6*Assumptions!$B$56)/Assumptions!$B$52</f>
        <v>30153.580312748</v>
      </c>
      <c r="M6" s="41" t="n">
        <f aca="false">(D6*Assumptions!$D$7+E6*Assumptions!$D$8)*(1-Assumptions!$B$51)/Assumptions!$B$26</f>
        <v>4491.30865133622</v>
      </c>
      <c r="N6" s="41" t="n">
        <f aca="false">(D6*(1-Assumptions!$D$7)+E6*(1-Assumptions!$D$8))/Assumptions!$B$27</f>
        <v>2463.80710988817</v>
      </c>
      <c r="O6" s="41" t="n">
        <f aca="false">(D6+E6)/Assumptions!$B$28</f>
        <v>792.181998733382</v>
      </c>
      <c r="P6" s="41" t="n">
        <f aca="false">(F6+G6+H6)/Assumptions!$B$29</f>
        <v>2199.34568184011</v>
      </c>
      <c r="Q6" s="41" t="n">
        <f aca="false">C6*(1-Assumptions!$D$6)/Assumptions!$B$30</f>
        <v>70.3116643560264</v>
      </c>
      <c r="R6" s="42" t="n">
        <f aca="false">(L6*Assumptions!$B$53+M6*Assumptions!$B$35+N6*Assumptions!$B$36+O6*Assumptions!$B$37+P6*Assumptions!$B$38+Q6*Assumptions!$B$39)/1000000000</f>
        <v>0.281442093555294</v>
      </c>
      <c r="S6" s="42" t="n">
        <f aca="false">K6*1000000*Assumptions!$B$43/1000000000</f>
        <v>0.166995485786426</v>
      </c>
      <c r="T6" s="42" t="n">
        <f aca="false">R6+S6</f>
        <v>0.44843757934172</v>
      </c>
      <c r="U6" s="42" t="n">
        <f aca="false">J6*Assumptions!$B$59*1000/8760/'Load profile'!L75</f>
        <v>0.132736321841546</v>
      </c>
      <c r="V6" s="42" t="n">
        <f aca="false">(D6+E6)*Assumptions!$B$64*Assumptions!$B$65*Assumptions!$B$66/1000000</f>
        <v>0.00998149318404062</v>
      </c>
    </row>
    <row r="7" customFormat="false" ht="15" hidden="false" customHeight="true" outlineLevel="0" collapsed="false">
      <c r="A7" s="5" t="n">
        <v>2028</v>
      </c>
      <c r="B7" s="41" t="n">
        <f aca="false">'Fleet projections'!D36*1000000</f>
        <v>19640025.420798</v>
      </c>
      <c r="C7" s="41" t="n">
        <f aca="false">'Fleet projections'!C149*1000000*'EV adoption'!B22</f>
        <v>49657.7476619529</v>
      </c>
      <c r="D7" s="41" t="n">
        <f aca="false">'Fleet projections'!D149*1000000*'EV adoption'!C22</f>
        <v>51069.5616760538</v>
      </c>
      <c r="E7" s="41" t="n">
        <f aca="false">'Fleet projections'!E149*1000000*'EV adoption'!D22</f>
        <v>13996.3062512119</v>
      </c>
      <c r="F7" s="41" t="n">
        <f aca="false">'Fleet projections'!F149*1000000*'EV adoption'!E22</f>
        <v>6905.53675296718</v>
      </c>
      <c r="G7" s="41" t="n">
        <f aca="false">'Fleet projections'!G149*1000000*'EV adoption'!F22</f>
        <v>168.394638735529</v>
      </c>
      <c r="H7" s="41" t="n">
        <f aca="false">'Fleet projections'!H149*1000000*'EV adoption'!G22</f>
        <v>119.870999973528</v>
      </c>
      <c r="I7" s="41" t="n">
        <f aca="false">SUM(C7:H7)</f>
        <v>121917.417980895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0.742171146947287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0.490785285361096</v>
      </c>
      <c r="L7" s="41" t="n">
        <f aca="false">((D7*Assumptions!$D$7+E7*Assumptions!$D$8)*Assumptions!$B$51+C7*Assumptions!$D$6*Assumptions!$B$56)/Assumptions!$B$52</f>
        <v>42067.575413026</v>
      </c>
      <c r="M7" s="41" t="n">
        <f aca="false">(D7*Assumptions!$D$7+E7*Assumptions!$D$8)*(1-Assumptions!$B$51)/Assumptions!$B$26</f>
        <v>6156.67913644628</v>
      </c>
      <c r="N7" s="41" t="n">
        <f aca="false">(D7*(1-Assumptions!$D$7)+E7*(1-Assumptions!$D$8))/Assumptions!$B$27</f>
        <v>3369.92928179005</v>
      </c>
      <c r="O7" s="41" t="n">
        <f aca="false">(D7+E7)/Assumptions!$B$28</f>
        <v>1084.4311321211</v>
      </c>
      <c r="P7" s="41" t="n">
        <f aca="false">(F7+G7+H7)/Assumptions!$B$29</f>
        <v>2877.5209566705</v>
      </c>
      <c r="Q7" s="41" t="n">
        <f aca="false">C7*(1-Assumptions!$D$6)/Assumptions!$B$30</f>
        <v>99.3154953239058</v>
      </c>
      <c r="R7" s="42" t="n">
        <f aca="false">(L7*Assumptions!$B$53+M7*Assumptions!$B$35+N7*Assumptions!$B$36+O7*Assumptions!$B$37+P7*Assumptions!$B$38+Q7*Assumptions!$B$39)/1000000000</f>
        <v>0.375176561784139</v>
      </c>
      <c r="S7" s="42" t="n">
        <f aca="false">K7*1000000*Assumptions!$B$43/1000000000</f>
        <v>0.220853378412493</v>
      </c>
      <c r="T7" s="42" t="n">
        <f aca="false">R7+S7</f>
        <v>0.596029940196633</v>
      </c>
      <c r="U7" s="42" t="n">
        <f aca="false">J7*Assumptions!$B$59*1000/8760/'Load profile'!M75</f>
        <v>0.176183111336694</v>
      </c>
      <c r="V7" s="42" t="n">
        <f aca="false">(D7+E7)*Assumptions!$B$64*Assumptions!$B$65*Assumptions!$B$66/1000000</f>
        <v>0.0136638322647258</v>
      </c>
    </row>
    <row r="8" customFormat="false" ht="15" hidden="false" customHeight="true" outlineLevel="0" collapsed="false">
      <c r="A8" s="5" t="n">
        <v>2029</v>
      </c>
      <c r="B8" s="41" t="n">
        <f aca="false">'Fleet projections'!D37*1000000</f>
        <v>21008205.2501968</v>
      </c>
      <c r="C8" s="41" t="n">
        <f aca="false">'Fleet projections'!C150*1000000*'EV adoption'!B23</f>
        <v>70066.8911173516</v>
      </c>
      <c r="D8" s="41" t="n">
        <f aca="false">'Fleet projections'!D150*1000000*'EV adoption'!C23</f>
        <v>70310.2556536584</v>
      </c>
      <c r="E8" s="41" t="n">
        <f aca="false">'Fleet projections'!E150*1000000*'EV adoption'!D23</f>
        <v>18688.9948046098</v>
      </c>
      <c r="F8" s="41" t="n">
        <f aca="false">'Fleet projections'!F150*1000000*'EV adoption'!E23</f>
        <v>9018.18697320597</v>
      </c>
      <c r="G8" s="41" t="n">
        <f aca="false">'Fleet projections'!G150*1000000*'EV adoption'!F23</f>
        <v>226.7314564149</v>
      </c>
      <c r="H8" s="41" t="n">
        <f aca="false">'Fleet projections'!H150*1000000*'EV adoption'!G23</f>
        <v>159.466048586338</v>
      </c>
      <c r="I8" s="41" t="n">
        <f aca="false">SUM(C8:H8)</f>
        <v>168470.526053827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0.996087350979546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0.64885714051972</v>
      </c>
      <c r="L8" s="41" t="n">
        <f aca="false">((D8*Assumptions!$D$7+E8*Assumptions!$D$8)*Assumptions!$B$51+C8*Assumptions!$D$6*Assumptions!$B$56)/Assumptions!$B$52</f>
        <v>58645.0060506682</v>
      </c>
      <c r="M8" s="41" t="n">
        <f aca="false">(D8*Assumptions!$D$7+E8*Assumptions!$D$8)*(1-Assumptions!$B$51)/Assumptions!$B$26</f>
        <v>8432.70017571157</v>
      </c>
      <c r="N8" s="41" t="n">
        <f aca="false">(D8*(1-Assumptions!$D$7)+E8*(1-Assumptions!$D$8))/Assumptions!$B$27</f>
        <v>4605.70414628516</v>
      </c>
      <c r="O8" s="41" t="n">
        <f aca="false">(D8+E8)/Assumptions!$B$28</f>
        <v>1483.32084097114</v>
      </c>
      <c r="P8" s="41" t="n">
        <f aca="false">(F8+G8+H8)/Assumptions!$B$29</f>
        <v>3761.75379128288</v>
      </c>
      <c r="Q8" s="41" t="n">
        <f aca="false">C8*(1-Assumptions!$D$6)/Assumptions!$B$30</f>
        <v>140.133782234703</v>
      </c>
      <c r="R8" s="42" t="n">
        <f aca="false">(L8*Assumptions!$B$53+M8*Assumptions!$B$35+N8*Assumptions!$B$36+O8*Assumptions!$B$37+P8*Assumptions!$B$38+Q8*Assumptions!$B$39)/1000000000</f>
        <v>0.500087966572873</v>
      </c>
      <c r="S8" s="42" t="n">
        <f aca="false">K8*1000000*Assumptions!$B$43/1000000000</f>
        <v>0.291985713233874</v>
      </c>
      <c r="T8" s="42" t="n">
        <f aca="false">R8+S8</f>
        <v>0.792073679806747</v>
      </c>
      <c r="U8" s="42" t="n">
        <f aca="false">J8*Assumptions!$B$59*1000/8760/'Load profile'!N75</f>
        <v>0.233782368339687</v>
      </c>
      <c r="V8" s="42" t="n">
        <f aca="false">(D8+E8)*Assumptions!$B$64*Assumptions!$B$65*Assumptions!$B$66/1000000</f>
        <v>0.0186898425962363</v>
      </c>
    </row>
    <row r="9" customFormat="false" ht="15" hidden="false" customHeight="true" outlineLevel="0" collapsed="false">
      <c r="A9" s="5" t="n">
        <v>2030</v>
      </c>
      <c r="B9" s="41" t="n">
        <f aca="false">'Fleet projections'!D38*1000000</f>
        <v>22458992.4696305</v>
      </c>
      <c r="C9" s="41" t="n">
        <f aca="false">'Fleet projections'!C151*1000000*'EV adoption'!B24</f>
        <v>98743.772395368</v>
      </c>
      <c r="D9" s="41" t="n">
        <f aca="false">'Fleet projections'!D151*1000000*'EV adoption'!C24</f>
        <v>96700.4616097482</v>
      </c>
      <c r="E9" s="41" t="n">
        <f aca="false">'Fleet projections'!E151*1000000*'EV adoption'!D24</f>
        <v>24927.326615229</v>
      </c>
      <c r="F9" s="41" t="n">
        <f aca="false">'Fleet projections'!F151*1000000*'EV adoption'!E24</f>
        <v>11766.8166262726</v>
      </c>
      <c r="G9" s="41" t="n">
        <f aca="false">'Fleet projections'!G151*1000000*'EV adoption'!F24</f>
        <v>304.877821300353</v>
      </c>
      <c r="H9" s="41" t="n">
        <f aca="false">'Fleet projections'!H151*1000000*'EV adoption'!G24</f>
        <v>211.920462842758</v>
      </c>
      <c r="I9" s="41" t="n">
        <f aca="false">SUM(C9:H9)</f>
        <v>232655.175530761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1.33649204984689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0.857518844571509</v>
      </c>
      <c r="L9" s="41" t="n">
        <f aca="false">((D9*Assumptions!$D$7+E9*Assumptions!$D$8)*Assumptions!$B$51+C9*Assumptions!$D$6*Assumptions!$B$56)/Assumptions!$B$52</f>
        <v>81682.7540376116</v>
      </c>
      <c r="M9" s="41" t="n">
        <f aca="false">(D9*Assumptions!$D$7+E9*Assumptions!$D$8)*(1-Assumptions!$B$51)/Assumptions!$B$26</f>
        <v>11539.595657117</v>
      </c>
      <c r="N9" s="41" t="n">
        <f aca="false">(D9*(1-Assumptions!$D$7)+E9*(1-Assumptions!$D$8))/Assumptions!$B$27</f>
        <v>6289.11713304243</v>
      </c>
      <c r="O9" s="41" t="n">
        <f aca="false">(D9+E9)/Assumptions!$B$28</f>
        <v>2027.12980374962</v>
      </c>
      <c r="P9" s="41" t="n">
        <f aca="false">(F9+G9+H9)/Assumptions!$B$29</f>
        <v>4913.44596416628</v>
      </c>
      <c r="Q9" s="41" t="n">
        <f aca="false">C9*(1-Assumptions!$D$6)/Assumptions!$B$30</f>
        <v>197.487544790736</v>
      </c>
      <c r="R9" s="42" t="n">
        <f aca="false">(L9*Assumptions!$B$53+M9*Assumptions!$B$35+N9*Assumptions!$B$36+O9*Assumptions!$B$37+P9*Assumptions!$B$38+Q9*Assumptions!$B$39)/1000000000</f>
        <v>0.666491775362051</v>
      </c>
      <c r="S9" s="42" t="n">
        <f aca="false">K9*1000000*Assumptions!$B$43/1000000000</f>
        <v>0.385883480057179</v>
      </c>
      <c r="T9" s="42" t="n">
        <f aca="false">R9+S9</f>
        <v>1.05237525541923</v>
      </c>
      <c r="U9" s="42" t="n">
        <f aca="false">J9*Assumptions!$B$59*1000/8760/'Load profile'!O75</f>
        <v>0.310104122199764</v>
      </c>
      <c r="V9" s="42" t="n">
        <f aca="false">(D9+E9)*Assumptions!$B$64*Assumptions!$B$65*Assumptions!$B$66/1000000</f>
        <v>0.0255418355272452</v>
      </c>
    </row>
    <row r="10" customFormat="false" ht="15" hidden="false" customHeight="true" outlineLevel="0" collapsed="false">
      <c r="A10" s="5" t="n">
        <v>2031</v>
      </c>
      <c r="B10" s="41" t="n">
        <f aca="false">'Fleet projections'!D39*1000000</f>
        <v>23992600.329276</v>
      </c>
      <c r="C10" s="41" t="n">
        <f aca="false">'Fleet projections'!C152*1000000*'EV adoption'!B25</f>
        <v>138937.602847334</v>
      </c>
      <c r="D10" s="41" t="n">
        <f aca="false">'Fleet projections'!D152*1000000*'EV adoption'!C25</f>
        <v>132820.77336565</v>
      </c>
      <c r="E10" s="41" t="n">
        <f aca="false">'Fleet projections'!E152*1000000*'EV adoption'!D25</f>
        <v>33201.3805685693</v>
      </c>
      <c r="F10" s="41" t="n">
        <f aca="false">'Fleet projections'!F152*1000000*'EV adoption'!E25</f>
        <v>15336.2160756955</v>
      </c>
      <c r="G10" s="41" t="n">
        <f aca="false">'Fleet projections'!G152*1000000*'EV adoption'!F25</f>
        <v>409.279285660578</v>
      </c>
      <c r="H10" s="41" t="n">
        <f aca="false">'Fleet projections'!H152*1000000*'EV adoption'!G25</f>
        <v>281.26163512598</v>
      </c>
      <c r="I10" s="41" t="n">
        <f aca="false">SUM(C10:H10)</f>
        <v>320986.513778035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1.79222672765066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1.13259232546766</v>
      </c>
      <c r="L10" s="41" t="n">
        <f aca="false">((D10*Assumptions!$D$7+E10*Assumptions!$D$8)*Assumptions!$B$51+C10*Assumptions!$D$6*Assumptions!$B$56)/Assumptions!$B$52</f>
        <v>113630.907885449</v>
      </c>
      <c r="M10" s="41" t="n">
        <f aca="false">(D10*Assumptions!$D$7+E10*Assumptions!$D$8)*(1-Assumptions!$B$51)/Assumptions!$B$26</f>
        <v>15772.1808792077</v>
      </c>
      <c r="N10" s="41" t="n">
        <f aca="false">(D10*(1-Assumptions!$D$7)+E10*(1-Assumptions!$D$8))/Assumptions!$B$27</f>
        <v>8577.78586811569</v>
      </c>
      <c r="O10" s="41" t="n">
        <f aca="false">(D10+E10)/Assumptions!$B$28</f>
        <v>2767.03589890365</v>
      </c>
      <c r="P10" s="41" t="n">
        <f aca="false">(F10+G10+H10)/Assumptions!$B$29</f>
        <v>6410.70279859282</v>
      </c>
      <c r="Q10" s="41" t="n">
        <f aca="false">C10*(1-Assumptions!$D$6)/Assumptions!$B$30</f>
        <v>277.875205694668</v>
      </c>
      <c r="R10" s="42" t="n">
        <f aca="false">(L10*Assumptions!$B$53+M10*Assumptions!$B$35+N10*Assumptions!$B$36+O10*Assumptions!$B$37+P10*Assumptions!$B$38+Q10*Assumptions!$B$39)/1000000000</f>
        <v>0.887915309483762</v>
      </c>
      <c r="S10" s="42" t="n">
        <f aca="false">K10*1000000*Assumptions!$B$43/1000000000</f>
        <v>0.509666546460446</v>
      </c>
      <c r="T10" s="42" t="n">
        <f aca="false">R10+S10</f>
        <v>1.39758185594421</v>
      </c>
      <c r="U10" s="42" t="n">
        <f aca="false">J10*Assumptions!$B$59*1000/8760/'Load profile'!P75</f>
        <v>0.411098783019436</v>
      </c>
      <c r="V10" s="42" t="n">
        <f aca="false">(D10+E10)*Assumptions!$B$64*Assumptions!$B$65*Assumptions!$B$66/1000000</f>
        <v>0.034864652326186</v>
      </c>
    </row>
    <row r="11" customFormat="false" ht="15" hidden="false" customHeight="true" outlineLevel="0" collapsed="false">
      <c r="A11" s="5" t="n">
        <v>2032</v>
      </c>
      <c r="B11" s="41" t="n">
        <f aca="false">'Fleet projections'!D40*1000000</f>
        <v>25613174.3514744</v>
      </c>
      <c r="C11" s="41" t="n">
        <f aca="false">'Fleet projections'!C153*1000000*'EV adoption'!B26</f>
        <v>195137.209969534</v>
      </c>
      <c r="D11" s="41" t="n">
        <f aca="false">'Fleet projections'!D153*1000000*'EV adoption'!C26</f>
        <v>182167.755034305</v>
      </c>
      <c r="E11" s="41" t="n">
        <f aca="false">'Fleet projections'!E153*1000000*'EV adoption'!D26</f>
        <v>44153.8965066653</v>
      </c>
      <c r="F11" s="41" t="n">
        <f aca="false">'Fleet projections'!F153*1000000*'EV adoption'!E26</f>
        <v>19965.2198379796</v>
      </c>
      <c r="G11" s="41" t="n">
        <f aca="false">'Fleet projections'!G153*1000000*'EV adoption'!F26</f>
        <v>548.409676633788</v>
      </c>
      <c r="H11" s="41" t="n">
        <f aca="false">'Fleet projections'!H153*1000000*'EV adoption'!G26</f>
        <v>372.764061497228</v>
      </c>
      <c r="I11" s="41" t="n">
        <f aca="false">SUM(C11:H11)</f>
        <v>442345.255086614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2.40174534143874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1.49488535202974</v>
      </c>
      <c r="L11" s="41" t="n">
        <f aca="false">((D11*Assumptions!$D$7+E11*Assumptions!$D$8)*Assumptions!$B$51+C11*Assumptions!$D$6*Assumptions!$B$56)/Assumptions!$B$52</f>
        <v>157847.894660772</v>
      </c>
      <c r="M11" s="41" t="n">
        <f aca="false">(D11*Assumptions!$D$7+E11*Assumptions!$D$8)*(1-Assumptions!$B$51)/Assumptions!$B$26</f>
        <v>21528.3177414304</v>
      </c>
      <c r="N11" s="41" t="n">
        <f aca="false">(D11*(1-Assumptions!$D$7)+E11*(1-Assumptions!$D$8))/Assumptions!$B$27</f>
        <v>11684.031714604</v>
      </c>
      <c r="O11" s="41" t="n">
        <f aca="false">(D11+E11)/Assumptions!$B$28</f>
        <v>3772.02752568283</v>
      </c>
      <c r="P11" s="41" t="n">
        <f aca="false">(F11+G11+H11)/Assumptions!$B$29</f>
        <v>8354.55743044424</v>
      </c>
      <c r="Q11" s="41" t="n">
        <f aca="false">C11*(1-Assumptions!$D$6)/Assumptions!$B$30</f>
        <v>390.274419939067</v>
      </c>
      <c r="R11" s="42" t="n">
        <f aca="false">(L11*Assumptions!$B$53+M11*Assumptions!$B$35+N11*Assumptions!$B$36+O11*Assumptions!$B$37+P11*Assumptions!$B$38+Q11*Assumptions!$B$39)/1000000000</f>
        <v>1.18231917245361</v>
      </c>
      <c r="S11" s="42" t="n">
        <f aca="false">K11*1000000*Assumptions!$B$43/1000000000</f>
        <v>0.672698408413384</v>
      </c>
      <c r="T11" s="42" t="n">
        <f aca="false">R11+S11</f>
        <v>1.855017580867</v>
      </c>
      <c r="U11" s="42" t="n">
        <f aca="false">J11*Assumptions!$B$59*1000/8760/'Load profile'!Q75</f>
        <v>0.544618835056113</v>
      </c>
      <c r="V11" s="42" t="n">
        <f aca="false">(D11+E11)*Assumptions!$B$64*Assumptions!$B$65*Assumptions!$B$66/1000000</f>
        <v>0.0475275468236037</v>
      </c>
    </row>
    <row r="12" customFormat="false" ht="15" hidden="false" customHeight="true" outlineLevel="0" collapsed="false">
      <c r="A12" s="5" t="n">
        <v>2033</v>
      </c>
      <c r="B12" s="41" t="n">
        <f aca="false">'Fleet projections'!D41*1000000</f>
        <v>27324289.3618224</v>
      </c>
      <c r="C12" s="41" t="n">
        <f aca="false">'Fleet projections'!C154*1000000*'EV adoption'!B27</f>
        <v>273476.338754551</v>
      </c>
      <c r="D12" s="41" t="n">
        <f aca="false">'Fleet projections'!D154*1000000*'EV adoption'!C27</f>
        <v>249432.277433011</v>
      </c>
      <c r="E12" s="41" t="n">
        <f aca="false">'Fleet projections'!E154*1000000*'EV adoption'!D27</f>
        <v>58617.4118375524</v>
      </c>
      <c r="F12" s="41" t="n">
        <f aca="false">'Fleet projections'!F154*1000000*'EV adoption'!E27</f>
        <v>25958.7154754757</v>
      </c>
      <c r="G12" s="41" t="n">
        <f aca="false">'Fleet projections'!G154*1000000*'EV adoption'!F27</f>
        <v>733.257348272897</v>
      </c>
      <c r="H12" s="41" t="n">
        <f aca="false">'Fleet projections'!H154*1000000*'EV adoption'!G27</f>
        <v>493.252980226323</v>
      </c>
      <c r="I12" s="41" t="n">
        <f aca="false">SUM(C12:H12)</f>
        <v>608711.253829088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3.21578784090905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1.97146031060984</v>
      </c>
      <c r="L12" s="41" t="n">
        <f aca="false">((D12*Assumptions!$D$7+E12*Assumptions!$D$8)*Assumptions!$B$51+C12*Assumptions!$D$6*Assumptions!$B$56)/Assumptions!$B$52</f>
        <v>218888.863544404</v>
      </c>
      <c r="M12" s="41" t="n">
        <f aca="false">(D12*Assumptions!$D$7+E12*Assumptions!$D$8)*(1-Assumptions!$B$51)/Assumptions!$B$26</f>
        <v>29339.5336311175</v>
      </c>
      <c r="N12" s="41" t="n">
        <f aca="false">(D12*(1-Assumptions!$D$7)+E12*(1-Assumptions!$D$8))/Assumptions!$B$27</f>
        <v>15890.9628955078</v>
      </c>
      <c r="O12" s="41" t="n">
        <f aca="false">(D12+E12)/Assumptions!$B$28</f>
        <v>5134.16148784272</v>
      </c>
      <c r="P12" s="41" t="n">
        <f aca="false">(F12+G12+H12)/Assumptions!$B$29</f>
        <v>10874.09032159</v>
      </c>
      <c r="Q12" s="41" t="n">
        <f aca="false">C12*(1-Assumptions!$D$6)/Assumptions!$B$30</f>
        <v>546.952677509101</v>
      </c>
      <c r="R12" s="42" t="n">
        <f aca="false">(L12*Assumptions!$B$53+M12*Assumptions!$B$35+N12*Assumptions!$B$36+O12*Assumptions!$B$37+P12*Assumptions!$B$38+Q12*Assumptions!$B$39)/1000000000</f>
        <v>1.57329736537553</v>
      </c>
      <c r="S12" s="42" t="n">
        <f aca="false">K12*1000000*Assumptions!$B$43/1000000000</f>
        <v>0.887157139774428</v>
      </c>
      <c r="T12" s="42" t="n">
        <f aca="false">R12+S12</f>
        <v>2.46045450514996</v>
      </c>
      <c r="U12" s="42" t="n">
        <f aca="false">J12*Assumptions!$B$59*1000/8760/'Load profile'!R75</f>
        <v>0.720915371001881</v>
      </c>
      <c r="V12" s="42" t="n">
        <f aca="false">(D12+E12)*Assumptions!$B$64*Assumptions!$B$65*Assumptions!$B$66/1000000</f>
        <v>0.0646904347468182</v>
      </c>
    </row>
    <row r="13" customFormat="false" ht="15" hidden="false" customHeight="true" outlineLevel="0" collapsed="false">
      <c r="A13" s="5" t="n">
        <v>2034</v>
      </c>
      <c r="B13" s="41" t="n">
        <f aca="false">'Fleet projections'!D42*1000000</f>
        <v>29125184.6545956</v>
      </c>
      <c r="C13" s="41" t="n">
        <f aca="false">'Fleet projections'!C155*1000000*'EV adoption'!B28</f>
        <v>382206.737895427</v>
      </c>
      <c r="D13" s="41" t="n">
        <f aca="false">'Fleet projections'!D155*1000000*'EV adoption'!C28</f>
        <v>340821.305942506</v>
      </c>
      <c r="E13" s="41" t="n">
        <f aca="false">'Fleet projections'!E155*1000000*'EV adoption'!D28</f>
        <v>77652.5719686822</v>
      </c>
      <c r="F13" s="41" t="n">
        <f aca="false">'Fleet projections'!F155*1000000*'EV adoption'!E28</f>
        <v>33699.8207537944</v>
      </c>
      <c r="G13" s="41" t="n">
        <f aca="false">'Fleet projections'!G155*1000000*'EV adoption'!F28</f>
        <v>977.809010562919</v>
      </c>
      <c r="H13" s="41" t="n">
        <f aca="false">'Fleet projections'!H155*1000000*'EV adoption'!G28</f>
        <v>651.420880685519</v>
      </c>
      <c r="I13" s="41" t="n">
        <f aca="false">SUM(C13:H13)</f>
        <v>836009.666451659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4.30036597745875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2.59699958104774</v>
      </c>
      <c r="L13" s="41" t="n">
        <f aca="false">((D13*Assumptions!$D$7+E13*Assumptions!$D$8)*Assumptions!$B$51+C13*Assumptions!$D$6*Assumptions!$B$56)/Assumptions!$B$52</f>
        <v>302840.374725039</v>
      </c>
      <c r="M13" s="41" t="n">
        <f aca="false">(D13*Assumptions!$D$7+E13*Assumptions!$D$8)*(1-Assumptions!$B$51)/Assumptions!$B$26</f>
        <v>39906.0734919018</v>
      </c>
      <c r="N13" s="41" t="n">
        <f aca="false">(D13*(1-Assumptions!$D$7)+E13*(1-Assumptions!$D$8))/Assumptions!$B$27</f>
        <v>21570.7986619651</v>
      </c>
      <c r="O13" s="41" t="n">
        <f aca="false">(D13+E13)/Assumptions!$B$28</f>
        <v>6974.56463185314</v>
      </c>
      <c r="P13" s="41" t="n">
        <f aca="false">(F13+G13+H13)/Assumptions!$B$29</f>
        <v>14131.6202580171</v>
      </c>
      <c r="Q13" s="41" t="n">
        <f aca="false">C13*(1-Assumptions!$D$6)/Assumptions!$B$30</f>
        <v>764.413475790854</v>
      </c>
      <c r="R13" s="42" t="n">
        <f aca="false">(L13*Assumptions!$B$53+M13*Assumptions!$B$35+N13*Assumptions!$B$36+O13*Assumptions!$B$37+P13*Assumptions!$B$38+Q13*Assumptions!$B$39)/1000000000</f>
        <v>2.09140007103385</v>
      </c>
      <c r="S13" s="42" t="n">
        <f aca="false">K13*1000000*Assumptions!$B$43/1000000000</f>
        <v>1.16864981147148</v>
      </c>
      <c r="T13" s="42" t="n">
        <f aca="false">R13+S13</f>
        <v>3.26004988250533</v>
      </c>
      <c r="U13" s="42" t="n">
        <f aca="false">J13*Assumptions!$B$59*1000/8760/'Load profile'!S75</f>
        <v>0.953179379140313</v>
      </c>
      <c r="V13" s="42" t="n">
        <f aca="false">(D13+E13)*Assumptions!$B$64*Assumptions!$B$65*Assumptions!$B$66/1000000</f>
        <v>0.0878795143613496</v>
      </c>
    </row>
    <row r="14" customFormat="false" ht="15" hidden="false" customHeight="true" outlineLevel="0" collapsed="false">
      <c r="A14" s="5" t="n">
        <v>2035</v>
      </c>
      <c r="B14" s="41" t="n">
        <f aca="false">'Fleet projections'!D43*1000000</f>
        <v>31018886.1185366</v>
      </c>
      <c r="C14" s="41" t="n">
        <f aca="false">'Fleet projections'!C156*1000000*'EV adoption'!B29</f>
        <v>532388.131754251</v>
      </c>
      <c r="D14" s="41" t="n">
        <f aca="false">'Fleet projections'!D156*1000000*'EV adoption'!C29</f>
        <v>464567.182209339</v>
      </c>
      <c r="E14" s="41" t="n">
        <f aca="false">'Fleet projections'!E156*1000000*'EV adoption'!D29</f>
        <v>102619.07143467</v>
      </c>
      <c r="F14" s="41" t="n">
        <f aca="false">'Fleet projections'!F156*1000000*'EV adoption'!E29</f>
        <v>43676.4046823268</v>
      </c>
      <c r="G14" s="41" t="n">
        <f aca="false">'Fleet projections'!G156*1000000*'EV adoption'!F29</f>
        <v>1299.90767874156</v>
      </c>
      <c r="H14" s="41" t="n">
        <f aca="false">'Fleet projections'!H156*1000000*'EV adoption'!G29</f>
        <v>858.425170897092</v>
      </c>
      <c r="I14" s="41" t="n">
        <f aca="false">SUM(C14:H14)</f>
        <v>1145409.12293023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5.74186134623894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3.41635140756125</v>
      </c>
      <c r="L14" s="41" t="n">
        <f aca="false">((D14*Assumptions!$D$7+E14*Assumptions!$D$8)*Assumptions!$B$51+C14*Assumptions!$D$6*Assumptions!$B$56)/Assumptions!$B$52</f>
        <v>417822.881897021</v>
      </c>
      <c r="M14" s="41" t="n">
        <f aca="false">(D14*Assumptions!$D$7+E14*Assumptions!$D$8)*(1-Assumptions!$B$51)/Assumptions!$B$26</f>
        <v>54153.1485785342</v>
      </c>
      <c r="N14" s="41" t="n">
        <f aca="false">(D14*(1-Assumptions!$D$7)+E14*(1-Assumptions!$D$8))/Assumptions!$B$27</f>
        <v>29214.4716108227</v>
      </c>
      <c r="O14" s="41" t="n">
        <f aca="false">(D14+E14)/Assumptions!$B$28</f>
        <v>9453.10422740015</v>
      </c>
      <c r="P14" s="41" t="n">
        <f aca="false">(F14+G14+H14)/Assumptions!$B$29</f>
        <v>18333.8950127862</v>
      </c>
      <c r="Q14" s="41" t="n">
        <f aca="false">C14*(1-Assumptions!$D$6)/Assumptions!$B$30</f>
        <v>1064.7762635085</v>
      </c>
      <c r="R14" s="42" t="n">
        <f aca="false">(L14*Assumptions!$B$53+M14*Assumptions!$B$35+N14*Assumptions!$B$36+O14*Assumptions!$B$37+P14*Assumptions!$B$38+Q14*Assumptions!$B$39)/1000000000</f>
        <v>2.77644739392854</v>
      </c>
      <c r="S14" s="42" t="n">
        <f aca="false">K14*1000000*Assumptions!$B$43/1000000000</f>
        <v>1.53735813340256</v>
      </c>
      <c r="T14" s="42" t="n">
        <f aca="false">R14+S14</f>
        <v>4.3138055273311</v>
      </c>
      <c r="U14" s="42" t="n">
        <f aca="false">J14*Assumptions!$B$59*1000/8760/'Load profile'!T75</f>
        <v>1.25852755387746</v>
      </c>
      <c r="V14" s="42" t="n">
        <f aca="false">(D14+E14)*Assumptions!$B$64*Assumptions!$B$65*Assumptions!$B$66/1000000</f>
        <v>0.119109113265242</v>
      </c>
    </row>
    <row r="15" customFormat="false" ht="15" hidden="false" customHeight="true" outlineLevel="0" collapsed="false">
      <c r="A15" s="5" t="n">
        <v>2036</v>
      </c>
      <c r="B15" s="41" t="n">
        <f aca="false">'Fleet projections'!D44*1000000</f>
        <v>33006553.3293181</v>
      </c>
      <c r="C15" s="41" t="n">
        <f aca="false">'Fleet projections'!C157*1000000*'EV adoption'!B30</f>
        <v>738532.520478902</v>
      </c>
      <c r="D15" s="41" t="n">
        <f aca="false">'Fleet projections'!D157*1000000*'EV adoption'!C30</f>
        <v>631408.248714887</v>
      </c>
      <c r="E15" s="41" t="n">
        <f aca="false">'Fleet projections'!E157*1000000*'EV adoption'!D30</f>
        <v>135226.566313945</v>
      </c>
      <c r="F15" s="41" t="n">
        <f aca="false">'Fleet projections'!F157*1000000*'EV adoption'!E30</f>
        <v>56499.3221576211</v>
      </c>
      <c r="G15" s="41" t="n">
        <f aca="false">'Fleet projections'!G157*1000000*'EV adoption'!F30</f>
        <v>1721.79754766876</v>
      </c>
      <c r="H15" s="41" t="n">
        <f aca="false">'Fleet projections'!H157*1000000*'EV adoption'!G30</f>
        <v>1128.3303338778</v>
      </c>
      <c r="I15" s="41" t="n">
        <f aca="false">SUM(C15:H15)</f>
        <v>1564516.7855469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7.65141831787501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4.48652252302649</v>
      </c>
      <c r="L15" s="41" t="n">
        <f aca="false">((D15*Assumptions!$D$7+E15*Assumptions!$D$8)*Assumptions!$B$51+C15*Assumptions!$D$6*Assumptions!$B$56)/Assumptions!$B$52</f>
        <v>574458.148805548</v>
      </c>
      <c r="M15" s="41" t="n">
        <f aca="false">(D15*Assumptions!$D$7+E15*Assumptions!$D$8)*(1-Assumptions!$B$51)/Assumptions!$B$26</f>
        <v>73282.8173450346</v>
      </c>
      <c r="N15" s="41" t="n">
        <f aca="false">(D15*(1-Assumptions!$D$7)+E15*(1-Assumptions!$D$8))/Assumptions!$B$27</f>
        <v>39458.6288040578</v>
      </c>
      <c r="O15" s="41" t="n">
        <f aca="false">(D15+E15)/Assumptions!$B$28</f>
        <v>12777.2469171472</v>
      </c>
      <c r="P15" s="41" t="n">
        <f aca="false">(F15+G15+H15)/Assumptions!$B$29</f>
        <v>23739.7800156671</v>
      </c>
      <c r="Q15" s="41" t="n">
        <f aca="false">C15*(1-Assumptions!$D$6)/Assumptions!$B$30</f>
        <v>1477.0650409578</v>
      </c>
      <c r="R15" s="42" t="n">
        <f aca="false">(L15*Assumptions!$B$53+M15*Assumptions!$B$35+N15*Assumptions!$B$36+O15*Assumptions!$B$37+P15*Assumptions!$B$38+Q15*Assumptions!$B$39)/1000000000</f>
        <v>3.67944096031101</v>
      </c>
      <c r="S15" s="42" t="n">
        <f aca="false">K15*1000000*Assumptions!$B$43/1000000000</f>
        <v>2.01893513536192</v>
      </c>
      <c r="T15" s="42" t="n">
        <f aca="false">R15+S15</f>
        <v>5.69837609567293</v>
      </c>
      <c r="U15" s="42" t="n">
        <f aca="false">J15*Assumptions!$B$59*1000/8760/'Load profile'!U75</f>
        <v>1.65880236796281</v>
      </c>
      <c r="V15" s="42" t="n">
        <f aca="false">(D15+E15)*Assumptions!$B$64*Assumptions!$B$65*Assumptions!$B$66/1000000</f>
        <v>0.160993311156055</v>
      </c>
    </row>
    <row r="16" customFormat="false" ht="15" hidden="false" customHeight="true" outlineLevel="0" collapsed="false">
      <c r="A16" s="5" t="n">
        <v>2037</v>
      </c>
      <c r="B16" s="41" t="n">
        <f aca="false">'Fleet projections'!D45*1000000</f>
        <v>35089346.4595893</v>
      </c>
      <c r="C16" s="41" t="n">
        <f aca="false">'Fleet projections'!C158*1000000*'EV adoption'!B31</f>
        <v>1019309.37831869</v>
      </c>
      <c r="D16" s="41" t="n">
        <f aca="false">'Fleet projections'!D158*1000000*'EV adoption'!C31</f>
        <v>855193.000724129</v>
      </c>
      <c r="E16" s="41" t="n">
        <f aca="false">'Fleet projections'!E158*1000000*'EV adoption'!D31</f>
        <v>177602.676657423</v>
      </c>
      <c r="F16" s="41" t="n">
        <f aca="false">'Fleet projections'!F158*1000000*'EV adoption'!E31</f>
        <v>72930.5739163253</v>
      </c>
      <c r="G16" s="41" t="n">
        <f aca="false">'Fleet projections'!G158*1000000*'EV adoption'!F31</f>
        <v>2270.773086219</v>
      </c>
      <c r="H16" s="41" t="n">
        <f aca="false">'Fleet projections'!H158*1000000*'EV adoption'!G31</f>
        <v>1478.71855029822</v>
      </c>
      <c r="I16" s="41" t="n">
        <f aca="false">SUM(C16:H16)</f>
        <v>2128785.12125308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10.1706825656709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5.87942018414794</v>
      </c>
      <c r="L16" s="41" t="n">
        <f aca="false">((D16*Assumptions!$D$7+E16*Assumptions!$D$8)*Assumptions!$B$51+C16*Assumptions!$D$6*Assumptions!$B$56)/Assumptions!$B$52</f>
        <v>786405.29146016</v>
      </c>
      <c r="M16" s="41" t="n">
        <f aca="false">(D16*Assumptions!$D$7+E16*Assumptions!$D$8)*(1-Assumptions!$B$51)/Assumptions!$B$26</f>
        <v>98839.5008217196</v>
      </c>
      <c r="N16" s="41" t="n">
        <f aca="false">(D16*(1-Assumptions!$D$7)+E16*(1-Assumptions!$D$8))/Assumptions!$B$27</f>
        <v>53119.8061745561</v>
      </c>
      <c r="O16" s="41" t="n">
        <f aca="false">(D16+E16)/Assumptions!$B$28</f>
        <v>17213.2612896925</v>
      </c>
      <c r="P16" s="41" t="n">
        <f aca="false">(F16+G16+H16)/Assumptions!$B$29</f>
        <v>30672.026221137</v>
      </c>
      <c r="Q16" s="41" t="n">
        <f aca="false">C16*(1-Assumptions!$D$6)/Assumptions!$B$30</f>
        <v>2038.61875663738</v>
      </c>
      <c r="R16" s="42" t="n">
        <f aca="false">(L16*Assumptions!$B$53+M16*Assumptions!$B$35+N16*Assumptions!$B$36+O16*Assumptions!$B$37+P16*Assumptions!$B$38+Q16*Assumptions!$B$39)/1000000000</f>
        <v>4.86506740803749</v>
      </c>
      <c r="S16" s="42" t="n">
        <f aca="false">K16*1000000*Assumptions!$B$43/1000000000</f>
        <v>2.64573908286657</v>
      </c>
      <c r="T16" s="42" t="n">
        <f aca="false">R16+S16</f>
        <v>7.51080649090406</v>
      </c>
      <c r="U16" s="42" t="n">
        <f aca="false">J16*Assumptions!$B$59*1000/8760/'Load profile'!V75</f>
        <v>2.18166417253952</v>
      </c>
      <c r="V16" s="42" t="n">
        <f aca="false">(D16+E16)*Assumptions!$B$64*Assumptions!$B$65*Assumptions!$B$66/1000000</f>
        <v>0.216887092250126</v>
      </c>
    </row>
    <row r="17" customFormat="false" ht="15" hidden="false" customHeight="true" outlineLevel="0" collapsed="false">
      <c r="A17" s="5" t="n">
        <v>2038</v>
      </c>
      <c r="B17" s="41" t="n">
        <f aca="false">'Fleet projections'!D46*1000000</f>
        <v>37266544.1183506</v>
      </c>
      <c r="C17" s="41" t="n">
        <f aca="false">'Fleet projections'!C159*1000000*'EV adoption'!B32</f>
        <v>1398007.81530772</v>
      </c>
      <c r="D17" s="41" t="n">
        <f aca="false">'Fleet projections'!D159*1000000*'EV adoption'!C32</f>
        <v>1153429.2770616</v>
      </c>
      <c r="E17" s="41" t="n">
        <f aca="false">'Fleet projections'!E159*1000000*'EV adoption'!D32</f>
        <v>232342.18660083</v>
      </c>
      <c r="F17" s="41" t="n">
        <f aca="false">'Fleet projections'!F159*1000000*'EV adoption'!E32</f>
        <v>93908.3988805087</v>
      </c>
      <c r="G17" s="41" t="n">
        <f aca="false">'Fleet projections'!G159*1000000*'EV adoption'!F32</f>
        <v>2979.41966497819</v>
      </c>
      <c r="H17" s="41" t="n">
        <f aca="false">'Fleet projections'!H159*1000000*'EV adoption'!G32</f>
        <v>1931.18378386078</v>
      </c>
      <c r="I17" s="41" t="n">
        <f aca="false">SUM(C17:H17)</f>
        <v>2882598.2812995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13.4768267299752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7.68419269173127</v>
      </c>
      <c r="L17" s="41" t="n">
        <f aca="false">((D17*Assumptions!$D$7+E17*Assumptions!$D$8)*Assumptions!$B$51+C17*Assumptions!$D$6*Assumptions!$B$56)/Assumptions!$B$52</f>
        <v>1070755.96441728</v>
      </c>
      <c r="M17" s="41" t="n">
        <f aca="false">(D17*Assumptions!$D$7+E17*Assumptions!$D$8)*(1-Assumptions!$B$51)/Assumptions!$B$26</f>
        <v>132768.591701223</v>
      </c>
      <c r="N17" s="41" t="n">
        <f aca="false">(D17*(1-Assumptions!$D$7)+E17*(1-Assumptions!$D$8))/Assumptions!$B$27</f>
        <v>71224.7580714619</v>
      </c>
      <c r="O17" s="41" t="n">
        <f aca="false">(D17+E17)/Assumptions!$B$28</f>
        <v>23096.1910610406</v>
      </c>
      <c r="P17" s="41" t="n">
        <f aca="false">(F17+G17+H17)/Assumptions!$B$29</f>
        <v>39527.6009317391</v>
      </c>
      <c r="Q17" s="41" t="n">
        <f aca="false">C17*(1-Assumptions!$D$6)/Assumptions!$B$30</f>
        <v>2796.01563061543</v>
      </c>
      <c r="R17" s="42" t="n">
        <f aca="false">(L17*Assumptions!$B$53+M17*Assumptions!$B$35+N17*Assumptions!$B$36+O17*Assumptions!$B$37+P17*Assumptions!$B$38+Q17*Assumptions!$B$39)/1000000000</f>
        <v>6.41378230809879</v>
      </c>
      <c r="S17" s="42" t="n">
        <f aca="false">K17*1000000*Assumptions!$B$43/1000000000</f>
        <v>3.45788671127907</v>
      </c>
      <c r="T17" s="42" t="n">
        <f aca="false">R17+S17</f>
        <v>9.87166901937786</v>
      </c>
      <c r="U17" s="42" t="n">
        <f aca="false">J17*Assumptions!$B$59*1000/8760/'Load profile'!W75</f>
        <v>2.86155317832097</v>
      </c>
      <c r="V17" s="42" t="n">
        <f aca="false">(D17+E17)*Assumptions!$B$64*Assumptions!$B$65*Assumptions!$B$66/1000000</f>
        <v>0.291012007369111</v>
      </c>
    </row>
    <row r="18" customFormat="false" ht="15" hidden="false" customHeight="true" outlineLevel="0" collapsed="false">
      <c r="A18" s="5" t="n">
        <v>2039</v>
      </c>
      <c r="B18" s="41" t="n">
        <f aca="false">'Fleet projections'!D47*1000000</f>
        <v>39539614.1178477</v>
      </c>
      <c r="C18" s="41" t="n">
        <f aca="false">'Fleet projections'!C160*1000000*'EV adoption'!B33</f>
        <v>1902745.974708</v>
      </c>
      <c r="D18" s="41" t="n">
        <f aca="false">'Fleet projections'!D160*1000000*'EV adoption'!C33</f>
        <v>1547896.24035415</v>
      </c>
      <c r="E18" s="41" t="n">
        <f aca="false">'Fleet projections'!E160*1000000*'EV adoption'!D33</f>
        <v>302570.824556471</v>
      </c>
      <c r="F18" s="41" t="n">
        <f aca="false">'Fleet projections'!F160*1000000*'EV adoption'!E33</f>
        <v>120586.575758083</v>
      </c>
      <c r="G18" s="41" t="n">
        <f aca="false">'Fleet projections'!G160*1000000*'EV adoption'!F33</f>
        <v>3885.80329316407</v>
      </c>
      <c r="H18" s="41" t="n">
        <f aca="false">'Fleet projections'!H160*1000000*'EV adoption'!G33</f>
        <v>2512.00801396724</v>
      </c>
      <c r="I18" s="41" t="n">
        <f aca="false">SUM(C18:H18)</f>
        <v>3880197.42668384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17.7885791369522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10.0103130792478</v>
      </c>
      <c r="L18" s="41" t="n">
        <f aca="false">((D18*Assumptions!$D$7+E18*Assumptions!$D$8)*Assumptions!$B$51+C18*Assumptions!$D$6*Assumptions!$B$56)/Assumptions!$B$52</f>
        <v>1448323.80781002</v>
      </c>
      <c r="M18" s="41" t="n">
        <f aca="false">(D18*Assumptions!$D$7+E18*Assumptions!$D$8)*(1-Assumptions!$B$51)/Assumptions!$B$26</f>
        <v>177482.435877151</v>
      </c>
      <c r="N18" s="41" t="n">
        <f aca="false">(D18*(1-Assumptions!$D$7)+E18*(1-Assumptions!$D$8))/Assumptions!$B$27</f>
        <v>95044.7767835019</v>
      </c>
      <c r="O18" s="41" t="n">
        <f aca="false">(D18+E18)/Assumptions!$B$28</f>
        <v>30841.1177485104</v>
      </c>
      <c r="P18" s="41" t="n">
        <f aca="false">(F18+G18+H18)/Assumptions!$B$29</f>
        <v>50793.7548260859</v>
      </c>
      <c r="Q18" s="41" t="n">
        <f aca="false">C18*(1-Assumptions!$D$6)/Assumptions!$B$30</f>
        <v>3805.49194941599</v>
      </c>
      <c r="R18" s="42" t="n">
        <f aca="false">(L18*Assumptions!$B$53+M18*Assumptions!$B$35+N18*Assumptions!$B$36+O18*Assumptions!$B$37+P18*Assumptions!$B$38+Q18*Assumptions!$B$39)/1000000000</f>
        <v>8.42428750636796</v>
      </c>
      <c r="S18" s="42" t="n">
        <f aca="false">K18*1000000*Assumptions!$B$43/1000000000</f>
        <v>4.50464088566151</v>
      </c>
      <c r="T18" s="42" t="n">
        <f aca="false">R18+S18</f>
        <v>12.9289283920295</v>
      </c>
      <c r="U18" s="42" t="n">
        <f aca="false">J18*Assumptions!$B$59*1000/8760/'Load profile'!X75</f>
        <v>3.74094340410965</v>
      </c>
      <c r="V18" s="42" t="n">
        <f aca="false">(D18+E18)*Assumptions!$B$64*Assumptions!$B$65*Assumptions!$B$66/1000000</f>
        <v>0.388598083631231</v>
      </c>
    </row>
    <row r="19" customFormat="false" ht="15" hidden="false" customHeight="true" outlineLevel="0" collapsed="false">
      <c r="A19" s="5" t="n">
        <v>2040</v>
      </c>
      <c r="B19" s="41" t="n">
        <f aca="false">'Fleet projections'!D48*1000000</f>
        <v>41907572.5990135</v>
      </c>
      <c r="C19" s="41" t="n">
        <f aca="false">'Fleet projections'!C161*1000000*'EV adoption'!B34</f>
        <v>2565601.16989187</v>
      </c>
      <c r="D19" s="41" t="n">
        <f aca="false">'Fleet projections'!D161*1000000*'EV adoption'!C34</f>
        <v>2064783.43601671</v>
      </c>
      <c r="E19" s="41" t="n">
        <f aca="false">'Fleet projections'!E161*1000000*'EV adoption'!D34</f>
        <v>391929.674067628</v>
      </c>
      <c r="F19" s="41" t="n">
        <f aca="false">'Fleet projections'!F161*1000000*'EV adoption'!E34</f>
        <v>154354.127447547</v>
      </c>
      <c r="G19" s="41" t="n">
        <f aca="false">'Fleet projections'!G161*1000000*'EV adoption'!F34</f>
        <v>5032.34824234635</v>
      </c>
      <c r="H19" s="41" t="n">
        <f aca="false">'Fleet projections'!H161*1000000*'EV adoption'!G34</f>
        <v>3252.26106359145</v>
      </c>
      <c r="I19" s="41" t="n">
        <f aca="false">SUM(C19:H19)</f>
        <v>5184953.01672969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23.3674487410304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12.9883103578987</v>
      </c>
      <c r="L19" s="41" t="n">
        <f aca="false">((D19*Assumptions!$D$7+E19*Assumptions!$D$8)*Assumptions!$B$51+C19*Assumptions!$D$6*Assumptions!$B$56)/Assumptions!$B$52</f>
        <v>1943245.17858482</v>
      </c>
      <c r="M19" s="41" t="n">
        <f aca="false">(D19*Assumptions!$D$7+E19*Assumptions!$D$8)*(1-Assumptions!$B$51)/Assumptions!$B$26</f>
        <v>235873.069156743</v>
      </c>
      <c r="N19" s="41" t="n">
        <f aca="false">(D19*(1-Assumptions!$D$7)+E19*(1-Assumptions!$D$8))/Assumptions!$B$27</f>
        <v>126101.736121447</v>
      </c>
      <c r="O19" s="41" t="n">
        <f aca="false">(D19+E19)/Assumptions!$B$28</f>
        <v>40945.2185014056</v>
      </c>
      <c r="P19" s="41" t="n">
        <f aca="false">(F19+G19+H19)/Assumptions!$B$29</f>
        <v>65055.494701394</v>
      </c>
      <c r="Q19" s="41" t="n">
        <f aca="false">C19*(1-Assumptions!$D$6)/Assumptions!$B$30</f>
        <v>5131.20233978374</v>
      </c>
      <c r="R19" s="42" t="n">
        <f aca="false">(L19*Assumptions!$B$53+M19*Assumptions!$B$35+N19*Assumptions!$B$36+O19*Assumptions!$B$37+P19*Assumptions!$B$38+Q19*Assumptions!$B$39)/1000000000</f>
        <v>11.0136430742401</v>
      </c>
      <c r="S19" s="42" t="n">
        <f aca="false">K19*1000000*Assumptions!$B$43/1000000000</f>
        <v>5.8447396610544</v>
      </c>
      <c r="T19" s="42" t="n">
        <f aca="false">R19+S19</f>
        <v>16.8583827352945</v>
      </c>
      <c r="U19" s="42" t="n">
        <f aca="false">J19*Assumptions!$B$59*1000/8760/'Load profile'!Y75</f>
        <v>4.87072784654604</v>
      </c>
      <c r="V19" s="42" t="n">
        <f aca="false">(D19+E19)*Assumptions!$B$64*Assumptions!$B$65*Assumptions!$B$66/1000000</f>
        <v>0.51590975311771</v>
      </c>
    </row>
    <row r="20" customFormat="false" ht="15" hidden="false" customHeight="true" outlineLevel="0" collapsed="false">
      <c r="A20" s="5" t="n">
        <v>2041</v>
      </c>
      <c r="B20" s="41" t="n">
        <f aca="false">'Fleet projections'!D49*1000000</f>
        <v>44368824.3918765</v>
      </c>
      <c r="C20" s="41" t="n">
        <f aca="false">'Fleet projections'!C162*1000000*'EV adoption'!B35</f>
        <v>3420638.7338611</v>
      </c>
      <c r="D20" s="41" t="n">
        <f aca="false">'Fleet projections'!D162*1000000*'EV adoption'!C35</f>
        <v>2734475.08297838</v>
      </c>
      <c r="E20" s="41" t="n">
        <f aca="false">'Fleet projections'!E162*1000000*'EV adoption'!D35</f>
        <v>504532.720040954</v>
      </c>
      <c r="F20" s="41" t="n">
        <f aca="false">'Fleet projections'!F162*1000000*'EV adoption'!E35</f>
        <v>196862.576855133</v>
      </c>
      <c r="G20" s="41" t="n">
        <f aca="false">'Fleet projections'!G162*1000000*'EV adoption'!F35</f>
        <v>6464.06135836876</v>
      </c>
      <c r="H20" s="41" t="n">
        <f aca="false">'Fleet projections'!H162*1000000*'EV adoption'!G35</f>
        <v>4187.78158724506</v>
      </c>
      <c r="I20" s="41" t="n">
        <f aca="false">SUM(C20:H20)</f>
        <v>6867160.95668118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30.5164374866274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16.7698678763832</v>
      </c>
      <c r="L20" s="41" t="n">
        <f aca="false">((D20*Assumptions!$D$7+E20*Assumptions!$D$8)*Assumptions!$B$51+C20*Assumptions!$D$6*Assumptions!$B$56)/Assumptions!$B$52</f>
        <v>2581924.2613731</v>
      </c>
      <c r="M20" s="41" t="n">
        <f aca="false">(D20*Assumptions!$D$7+E20*Assumptions!$D$8)*(1-Assumptions!$B$51)/Assumptions!$B$26</f>
        <v>311287.46230091</v>
      </c>
      <c r="N20" s="41" t="n">
        <f aca="false">(D20*(1-Assumptions!$D$7)+E20*(1-Assumptions!$D$8))/Assumptions!$B$27</f>
        <v>166154.829484641</v>
      </c>
      <c r="O20" s="41" t="n">
        <f aca="false">(D20+E20)/Assumptions!$B$28</f>
        <v>53983.4633836556</v>
      </c>
      <c r="P20" s="41" t="n">
        <f aca="false">(F20+G20+H20)/Assumptions!$B$29</f>
        <v>83005.7679202987</v>
      </c>
      <c r="Q20" s="41" t="n">
        <f aca="false">C20*(1-Assumptions!$D$6)/Assumptions!$B$30</f>
        <v>6841.2774677222</v>
      </c>
      <c r="R20" s="42" t="n">
        <f aca="false">(L20*Assumptions!$B$53+M20*Assumptions!$B$35+N20*Assumptions!$B$36+O20*Assumptions!$B$37+P20*Assumptions!$B$38+Q20*Assumptions!$B$39)/1000000000</f>
        <v>14.3161954809207</v>
      </c>
      <c r="S20" s="42" t="n">
        <f aca="false">K20*1000000*Assumptions!$B$43/1000000000</f>
        <v>7.54644054437244</v>
      </c>
      <c r="T20" s="42" t="n">
        <f aca="false">R20+S20</f>
        <v>21.8626360252932</v>
      </c>
      <c r="U20" s="42" t="n">
        <f aca="false">J20*Assumptions!$B$59*1000/8760/'Load profile'!Z75</f>
        <v>6.31034199970733</v>
      </c>
      <c r="V20" s="42" t="n">
        <f aca="false">(D20+E20)*Assumptions!$B$64*Assumptions!$B$65*Assumptions!$B$66/1000000</f>
        <v>0.68019163863406</v>
      </c>
    </row>
    <row r="21" customFormat="false" ht="15" hidden="false" customHeight="true" outlineLevel="0" collapsed="false">
      <c r="A21" s="5" t="n">
        <v>2042</v>
      </c>
      <c r="B21" s="41" t="n">
        <f aca="false">'Fleet projections'!D50*1000000</f>
        <v>46920455.8641139</v>
      </c>
      <c r="C21" s="41" t="n">
        <f aca="false">'Fleet projections'!C163*1000000*'EV adoption'!B36</f>
        <v>4500199.98356234</v>
      </c>
      <c r="D21" s="41" t="n">
        <f aca="false">'Fleet projections'!D163*1000000*'EV adoption'!C36</f>
        <v>3590440.33834636</v>
      </c>
      <c r="E21" s="41" t="n">
        <f aca="false">'Fleet projections'!E163*1000000*'EV adoption'!D36</f>
        <v>644823.785345916</v>
      </c>
      <c r="F21" s="41" t="n">
        <f aca="false">'Fleet projections'!F163*1000000*'EV adoption'!E36</f>
        <v>250035.691631856</v>
      </c>
      <c r="G21" s="41" t="n">
        <f aca="false">'Fleet projections'!G163*1000000*'EV adoption'!F36</f>
        <v>8225.25534693124</v>
      </c>
      <c r="H21" s="41" t="n">
        <f aca="false">'Fleet projections'!H163*1000000*'EV adoption'!G36</f>
        <v>5358.42996170495</v>
      </c>
      <c r="I21" s="41" t="n">
        <f aca="false">SUM(C21:H21)</f>
        <v>8999083.48419511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39.5710437039055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21.5248069281529</v>
      </c>
      <c r="L21" s="41" t="n">
        <f aca="false">((D21*Assumptions!$D$7+E21*Assumptions!$D$8)*Assumptions!$B$51+C21*Assumptions!$D$6*Assumptions!$B$56)/Assumptions!$B$52</f>
        <v>3390836.28144079</v>
      </c>
      <c r="M21" s="41" t="n">
        <f aca="false">(D21*Assumptions!$D$7+E21*Assumptions!$D$8)*(1-Assumptions!$B$51)/Assumptions!$B$26</f>
        <v>407405.81773558</v>
      </c>
      <c r="N21" s="41" t="n">
        <f aca="false">(D21*(1-Assumptions!$D$7)+E21*(1-Assumptions!$D$8))/Assumptions!$B$27</f>
        <v>217136.737729163</v>
      </c>
      <c r="O21" s="41" t="n">
        <f aca="false">(D21+E21)/Assumptions!$B$28</f>
        <v>70587.7353948713</v>
      </c>
      <c r="P21" s="41" t="n">
        <f aca="false">(F21+G21+H21)/Assumptions!$B$29</f>
        <v>105447.750776197</v>
      </c>
      <c r="Q21" s="41" t="n">
        <f aca="false">C21*(1-Assumptions!$D$6)/Assumptions!$B$30</f>
        <v>9000.39996712468</v>
      </c>
      <c r="R21" s="42" t="n">
        <f aca="false">(L21*Assumptions!$B$53+M21*Assumptions!$B$35+N21*Assumptions!$B$36+O21*Assumptions!$B$37+P21*Assumptions!$B$38+Q21*Assumptions!$B$39)/1000000000</f>
        <v>18.4790522915902</v>
      </c>
      <c r="S21" s="42" t="n">
        <f aca="false">K21*1000000*Assumptions!$B$43/1000000000</f>
        <v>9.68616311766881</v>
      </c>
      <c r="T21" s="42" t="n">
        <f aca="false">R21+S21</f>
        <v>28.165215409259</v>
      </c>
      <c r="U21" s="42" t="n">
        <f aca="false">J21*Assumptions!$B$59*1000/8760/'Load profile'!AA75</f>
        <v>8.12664172470683</v>
      </c>
      <c r="V21" s="42" t="n">
        <f aca="false">(D21+E21)*Assumptions!$B$64*Assumptions!$B$65*Assumptions!$B$66/1000000</f>
        <v>0.889405465975379</v>
      </c>
    </row>
    <row r="22" customFormat="false" ht="15" hidden="false" customHeight="true" outlineLevel="0" collapsed="false">
      <c r="A22" s="5" t="n">
        <v>2043</v>
      </c>
      <c r="B22" s="41" t="n">
        <f aca="false">'Fleet projections'!D51*1000000</f>
        <v>49561585.7020476</v>
      </c>
      <c r="C22" s="41" t="n">
        <f aca="false">'Fleet projections'!C164*1000000*'EV adoption'!B37</f>
        <v>5829949.62214322</v>
      </c>
      <c r="D22" s="41" t="n">
        <f aca="false">'Fleet projections'!D164*1000000*'EV adoption'!C37</f>
        <v>4667312.22929447</v>
      </c>
      <c r="E22" s="41" t="n">
        <f aca="false">'Fleet projections'!E164*1000000*'EV adoption'!D37</f>
        <v>817380.730558235</v>
      </c>
      <c r="F22" s="41" t="n">
        <f aca="false">'Fleet projections'!F164*1000000*'EV adoption'!E37</f>
        <v>316082.397636837</v>
      </c>
      <c r="G22" s="41" t="n">
        <f aca="false">'Fleet projections'!G164*1000000*'EV adoption'!F37</f>
        <v>10355.6497822406</v>
      </c>
      <c r="H22" s="41" t="n">
        <f aca="false">'Fleet projections'!H164*1000000*'EV adoption'!G37</f>
        <v>6806.98119308621</v>
      </c>
      <c r="I22" s="41" t="n">
        <f aca="false">SUM(C22:H22)</f>
        <v>11647887.6106081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50.8845794868362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27.4365409612952</v>
      </c>
      <c r="L22" s="41" t="n">
        <f aca="false">((D22*Assumptions!$D$7+E22*Assumptions!$D$8)*Assumptions!$B$51+C22*Assumptions!$D$6*Assumptions!$B$56)/Assumptions!$B$52</f>
        <v>4393472.18869129</v>
      </c>
      <c r="M22" s="41" t="n">
        <f aca="false">(D22*Assumptions!$D$7+E22*Assumptions!$D$8)*(1-Assumptions!$B$51)/Assumptions!$B$26</f>
        <v>528034.777721314</v>
      </c>
      <c r="N22" s="41" t="n">
        <f aca="false">(D22*(1-Assumptions!$D$7)+E22*(1-Assumptions!$D$8))/Assumptions!$B$27</f>
        <v>281046.15408062</v>
      </c>
      <c r="O22" s="41" t="n">
        <f aca="false">(D22+E22)/Assumptions!$B$28</f>
        <v>91411.5493308783</v>
      </c>
      <c r="P22" s="41" t="n">
        <f aca="false">(F22+G22+H22)/Assumptions!$B$29</f>
        <v>133298.011444865</v>
      </c>
      <c r="Q22" s="41" t="n">
        <f aca="false">C22*(1-Assumptions!$D$6)/Assumptions!$B$30</f>
        <v>11659.8992442864</v>
      </c>
      <c r="R22" s="42" t="n">
        <f aca="false">(L22*Assumptions!$B$53+M22*Assumptions!$B$35+N22*Assumptions!$B$36+O22*Assumptions!$B$37+P22*Assumptions!$B$38+Q22*Assumptions!$B$39)/1000000000</f>
        <v>23.6554313732758</v>
      </c>
      <c r="S22" s="42" t="n">
        <f aca="false">K22*1000000*Assumptions!$B$43/1000000000</f>
        <v>12.3464434325828</v>
      </c>
      <c r="T22" s="42" t="n">
        <f aca="false">R22+S22</f>
        <v>36.0018748058586</v>
      </c>
      <c r="U22" s="42" t="n">
        <f aca="false">J22*Assumptions!$B$59*1000/8760/'Load profile'!AB75</f>
        <v>10.3920334962269</v>
      </c>
      <c r="V22" s="42" t="n">
        <f aca="false">(D22+E22)*Assumptions!$B$64*Assumptions!$B$65*Assumptions!$B$66/1000000</f>
        <v>1.15178552156907</v>
      </c>
    </row>
    <row r="23" customFormat="false" ht="15" hidden="false" customHeight="true" outlineLevel="0" collapsed="false">
      <c r="A23" s="5" t="n">
        <v>2044</v>
      </c>
      <c r="B23" s="41" t="n">
        <f aca="false">'Fleet projections'!D52*1000000</f>
        <v>52290904.6674911</v>
      </c>
      <c r="C23" s="41" t="n">
        <f aca="false">'Fleet projections'!C165*1000000*'EV adoption'!B38</f>
        <v>7422638.18614378</v>
      </c>
      <c r="D23" s="41" t="n">
        <f aca="false">'Fleet projections'!D165*1000000*'EV adoption'!C38</f>
        <v>5997367.80696941</v>
      </c>
      <c r="E23" s="41" t="n">
        <f aca="false">'Fleet projections'!E165*1000000*'EV adoption'!D38</f>
        <v>1026542.8959694</v>
      </c>
      <c r="F23" s="41" t="n">
        <f aca="false">'Fleet projections'!F165*1000000*'EV adoption'!E38</f>
        <v>397460.518308577</v>
      </c>
      <c r="G23" s="41" t="n">
        <f aca="false">'Fleet projections'!G165*1000000*'EV adoption'!F38</f>
        <v>12884.7363455253</v>
      </c>
      <c r="H23" s="41" t="n">
        <f aca="false">'Fleet projections'!H165*1000000*'EV adoption'!G38</f>
        <v>8576.54377865033</v>
      </c>
      <c r="I23" s="41" t="n">
        <f aca="false">SUM(C23:H23)</f>
        <v>14865470.6875153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64.799845381112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34.6919377200937</v>
      </c>
      <c r="L23" s="41" t="n">
        <f aca="false">((D23*Assumptions!$D$7+E23*Assumptions!$D$8)*Assumptions!$B$51+C23*Assumptions!$D$6*Assumptions!$B$56)/Assumptions!$B$52</f>
        <v>5606156.0871769</v>
      </c>
      <c r="M23" s="41" t="n">
        <f aca="false">(D23*Assumptions!$D$7+E23*Assumptions!$D$8)*(1-Assumptions!$B$51)/Assumptions!$B$26</f>
        <v>676727.497894647</v>
      </c>
      <c r="N23" s="41" t="n">
        <f aca="false">(D23*(1-Assumptions!$D$7)+E23*(1-Assumptions!$D$8))/Assumptions!$B$27</f>
        <v>359750.059280019</v>
      </c>
      <c r="O23" s="41" t="n">
        <f aca="false">(D23+E23)/Assumptions!$B$28</f>
        <v>117065.178382314</v>
      </c>
      <c r="P23" s="41" t="n">
        <f aca="false">(F23+G23+H23)/Assumptions!$B$29</f>
        <v>167568.719373101</v>
      </c>
      <c r="Q23" s="41" t="n">
        <f aca="false">C23*(1-Assumptions!$D$6)/Assumptions!$B$30</f>
        <v>14845.2763722876</v>
      </c>
      <c r="R23" s="42" t="n">
        <f aca="false">(L23*Assumptions!$B$53+M23*Assumptions!$B$35+N23*Assumptions!$B$36+O23*Assumptions!$B$37+P23*Assumptions!$B$38+Q23*Assumptions!$B$39)/1000000000</f>
        <v>29.9927204783589</v>
      </c>
      <c r="S23" s="42" t="n">
        <f aca="false">K23*1000000*Assumptions!$B$43/1000000000</f>
        <v>15.6113719740421</v>
      </c>
      <c r="T23" s="42" t="n">
        <f aca="false">R23+S23</f>
        <v>45.6040924524011</v>
      </c>
      <c r="U23" s="42" t="n">
        <f aca="false">J23*Assumptions!$B$59*1000/8760/'Load profile'!AC75</f>
        <v>13.1801959053281</v>
      </c>
      <c r="V23" s="42" t="n">
        <f aca="false">(D23+E23)*Assumptions!$B$64*Assumptions!$B$65*Assumptions!$B$66/1000000</f>
        <v>1.47502124761715</v>
      </c>
    </row>
    <row r="24" customFormat="false" ht="15" hidden="false" customHeight="true" outlineLevel="0" collapsed="false">
      <c r="A24" s="5" t="n">
        <v>2045</v>
      </c>
      <c r="B24" s="41" t="n">
        <f aca="false">'Fleet projections'!D53*1000000</f>
        <v>55103715.9692694</v>
      </c>
      <c r="C24" s="41" t="n">
        <f aca="false">'Fleet projections'!C166*1000000*'EV adoption'!B39</f>
        <v>9272114.9611891</v>
      </c>
      <c r="D24" s="41" t="n">
        <f aca="false">'Fleet projections'!D166*1000000*'EV adoption'!C39</f>
        <v>7605503.05126246</v>
      </c>
      <c r="E24" s="41" t="n">
        <f aca="false">'Fleet projections'!E166*1000000*'EV adoption'!D39</f>
        <v>1275878.53741133</v>
      </c>
      <c r="F24" s="41" t="n">
        <f aca="false">'Fleet projections'!F166*1000000*'EV adoption'!E39</f>
        <v>496784.307698032</v>
      </c>
      <c r="G24" s="41" t="n">
        <f aca="false">'Fleet projections'!G166*1000000*'EV adoption'!F39</f>
        <v>15825.303371936</v>
      </c>
      <c r="H24" s="41" t="n">
        <f aca="false">'Fleet projections'!H166*1000000*'EV adoption'!G39</f>
        <v>10706.4790235049</v>
      </c>
      <c r="I24" s="41" t="n">
        <f aca="false">SUM(C24:H24)</f>
        <v>18676812.6399564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81.6083040026242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43.4661419890859</v>
      </c>
      <c r="L24" s="41" t="n">
        <f aca="false">((D24*Assumptions!$D$7+E24*Assumptions!$D$8)*Assumptions!$B$51+C24*Assumptions!$D$6*Assumptions!$B$56)/Assumptions!$B$52</f>
        <v>7033532.82780442</v>
      </c>
      <c r="M24" s="41" t="n">
        <f aca="false">(D24*Assumptions!$D$7+E24*Assumptions!$D$8)*(1-Assumptions!$B$51)/Assumptions!$B$26</f>
        <v>856241.195432096</v>
      </c>
      <c r="N24" s="41" t="n">
        <f aca="false">(D24*(1-Assumptions!$D$7)+E24*(1-Assumptions!$D$8))/Assumptions!$B$27</f>
        <v>454701.400578784</v>
      </c>
      <c r="O24" s="41" t="n">
        <f aca="false">(D24+E24)/Assumptions!$B$28</f>
        <v>148023.026477897</v>
      </c>
      <c r="P24" s="41" t="n">
        <f aca="false">(F24+G24+H24)/Assumptions!$B$29</f>
        <v>209326.436037389</v>
      </c>
      <c r="Q24" s="41" t="n">
        <f aca="false">C24*(1-Assumptions!$D$6)/Assumptions!$B$30</f>
        <v>18544.2299223782</v>
      </c>
      <c r="R24" s="42" t="n">
        <f aca="false">(L24*Assumptions!$B$53+M24*Assumptions!$B$35+N24*Assumptions!$B$36+O24*Assumptions!$B$37+P24*Assumptions!$B$38+Q24*Assumptions!$B$39)/1000000000</f>
        <v>37.6164200541871</v>
      </c>
      <c r="S24" s="42" t="n">
        <f aca="false">K24*1000000*Assumptions!$B$43/1000000000</f>
        <v>19.5597638950887</v>
      </c>
      <c r="T24" s="42" t="n">
        <f aca="false">R24+S24</f>
        <v>57.1761839492757</v>
      </c>
      <c r="U24" s="42" t="n">
        <f aca="false">J24*Assumptions!$B$59*1000/8760/'Load profile'!AD75</f>
        <v>16.5594666313783</v>
      </c>
      <c r="V24" s="42" t="n">
        <f aca="false">(D24+E24)*Assumptions!$B$64*Assumptions!$B$65*Assumptions!$B$66/1000000</f>
        <v>1.8650901336215</v>
      </c>
    </row>
    <row r="25" customFormat="false" ht="15" hidden="false" customHeight="true" outlineLevel="0" collapsed="false">
      <c r="A25" s="5" t="n">
        <v>2046</v>
      </c>
      <c r="B25" s="41" t="n">
        <f aca="false">'Fleet projections'!D54*1000000</f>
        <v>57997095.5696944</v>
      </c>
      <c r="C25" s="41" t="n">
        <f aca="false">'Fleet projections'!C167*1000000*'EV adoption'!B40</f>
        <v>11351132.5124212</v>
      </c>
      <c r="D25" s="41" t="n">
        <f aca="false">'Fleet projections'!D167*1000000*'EV adoption'!C40</f>
        <v>9504479.48295557</v>
      </c>
      <c r="E25" s="41" t="n">
        <f aca="false">'Fleet projections'!E167*1000000*'EV adoption'!D40</f>
        <v>1567736.93259002</v>
      </c>
      <c r="F25" s="41" t="n">
        <f aca="false">'Fleet projections'!F167*1000000*'EV adoption'!E40</f>
        <v>616743.040394561</v>
      </c>
      <c r="G25" s="41" t="n">
        <f aca="false">'Fleet projections'!G167*1000000*'EV adoption'!F40</f>
        <v>19169.8363941123</v>
      </c>
      <c r="H25" s="41" t="n">
        <f aca="false">'Fleet projections'!H167*1000000*'EV adoption'!G40</f>
        <v>13228.6387025956</v>
      </c>
      <c r="I25" s="41" t="n">
        <f aca="false">SUM(C25:H25)</f>
        <v>23072490.443458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101.513920919427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53.9104544893495</v>
      </c>
      <c r="L25" s="41" t="n">
        <f aca="false">((D25*Assumptions!$D$7+E25*Assumptions!$D$8)*Assumptions!$B$51+C25*Assumptions!$D$6*Assumptions!$B$56)/Assumptions!$B$52</f>
        <v>8666045.26728204</v>
      </c>
      <c r="M25" s="41" t="n">
        <f aca="false">(D25*Assumptions!$D$7+E25*Assumptions!$D$8)*(1-Assumptions!$B$51)/Assumptions!$B$26</f>
        <v>1068028.21823981</v>
      </c>
      <c r="N25" s="41" t="n">
        <f aca="false">(D25*(1-Assumptions!$D$7)+E25*(1-Assumptions!$D$8))/Assumptions!$B$27</f>
        <v>566675.29521553</v>
      </c>
      <c r="O25" s="41" t="n">
        <f aca="false">(D25+E25)/Assumptions!$B$28</f>
        <v>184536.940259093</v>
      </c>
      <c r="P25" s="41" t="n">
        <f aca="false">(F25+G25+H25)/Assumptions!$B$29</f>
        <v>259656.606196507</v>
      </c>
      <c r="Q25" s="41" t="n">
        <f aca="false">C25*(1-Assumptions!$D$6)/Assumptions!$B$30</f>
        <v>22702.2650248423</v>
      </c>
      <c r="R25" s="42" t="n">
        <f aca="false">(L25*Assumptions!$B$53+M25*Assumptions!$B$35+N25*Assumptions!$B$36+O25*Assumptions!$B$37+P25*Assumptions!$B$38+Q25*Assumptions!$B$39)/1000000000</f>
        <v>46.6181015041496</v>
      </c>
      <c r="S25" s="42" t="n">
        <f aca="false">K25*1000000*Assumptions!$B$43/1000000000</f>
        <v>24.2597045202073</v>
      </c>
      <c r="T25" s="42" t="n">
        <f aca="false">R25+S25</f>
        <v>70.8778060243569</v>
      </c>
      <c r="U25" s="42" t="n">
        <f aca="false">J25*Assumptions!$B$59*1000/8760/'Load profile'!AE75</f>
        <v>20.5869720802693</v>
      </c>
      <c r="V25" s="42" t="n">
        <f aca="false">(D25+E25)*Assumptions!$B$64*Assumptions!$B$65*Assumptions!$B$66/1000000</f>
        <v>2.32516544726457</v>
      </c>
    </row>
    <row r="26" customFormat="false" ht="15" hidden="false" customHeight="true" outlineLevel="0" collapsed="false">
      <c r="A26" s="5" t="n">
        <v>2047</v>
      </c>
      <c r="B26" s="41" t="n">
        <f aca="false">'Fleet projections'!D55*1000000</f>
        <v>60967171.2768418</v>
      </c>
      <c r="C26" s="41" t="n">
        <f aca="false">'Fleet projections'!C168*1000000*'EV adoption'!B41</f>
        <v>13612611.0491592</v>
      </c>
      <c r="D26" s="41" t="n">
        <f aca="false">'Fleet projections'!D168*1000000*'EV adoption'!C41</f>
        <v>11689974.4653115</v>
      </c>
      <c r="E26" s="41" t="n">
        <f aca="false">'Fleet projections'!E168*1000000*'EV adoption'!D41</f>
        <v>1902688.78880734</v>
      </c>
      <c r="F26" s="41" t="n">
        <f aca="false">'Fleet projections'!F168*1000000*'EV adoption'!E41</f>
        <v>759916.344563463</v>
      </c>
      <c r="G26" s="41" t="n">
        <f aca="false">'Fleet projections'!G168*1000000*'EV adoption'!F41</f>
        <v>22887.5931799512</v>
      </c>
      <c r="H26" s="41" t="n">
        <f aca="false">'Fleet projections'!H168*1000000*'EV adoption'!G41</f>
        <v>16162.0530925808</v>
      </c>
      <c r="I26" s="41" t="n">
        <f aca="false">SUM(C26:H26)</f>
        <v>28004240.294114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124.5921112788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66.135916872505</v>
      </c>
      <c r="L26" s="41" t="n">
        <f aca="false">((D26*Assumptions!$D$7+E26*Assumptions!$D$8)*Assumptions!$B$51+C26*Assumptions!$D$6*Assumptions!$B$56)/Assumptions!$B$52</f>
        <v>10479063.0205164</v>
      </c>
      <c r="M26" s="41" t="n">
        <f aca="false">(D26*Assumptions!$D$7+E26*Assumptions!$D$8)*(1-Assumptions!$B$51)/Assumptions!$B$26</f>
        <v>1311699.1056917</v>
      </c>
      <c r="N26" s="41" t="n">
        <f aca="false">(D26*(1-Assumptions!$D$7)+E26*(1-Assumptions!$D$8))/Assumptions!$B$27</f>
        <v>695488.90261267</v>
      </c>
      <c r="O26" s="41" t="n">
        <f aca="false">(D26+E26)/Assumptions!$B$28</f>
        <v>226544.387568647</v>
      </c>
      <c r="P26" s="41" t="n">
        <f aca="false">(F26+G26+H26)/Assumptions!$B$29</f>
        <v>319586.396334398</v>
      </c>
      <c r="Q26" s="41" t="n">
        <f aca="false">C26*(1-Assumptions!$D$6)/Assumptions!$B$30</f>
        <v>27225.2220983184</v>
      </c>
      <c r="R26" s="42" t="n">
        <f aca="false">(L26*Assumptions!$B$53+M26*Assumptions!$B$35+N26*Assumptions!$B$36+O26*Assumptions!$B$37+P26*Assumptions!$B$38+Q26*Assumptions!$B$39)/1000000000</f>
        <v>57.0421629661214</v>
      </c>
      <c r="S26" s="42" t="n">
        <f aca="false">K26*1000000*Assumptions!$B$43/1000000000</f>
        <v>29.7611625926272</v>
      </c>
      <c r="T26" s="42" t="n">
        <f aca="false">R26+S26</f>
        <v>86.8033255587486</v>
      </c>
      <c r="U26" s="42" t="n">
        <f aca="false">J26*Assumptions!$B$59*1000/8760/'Load profile'!AF75</f>
        <v>25.3009570015893</v>
      </c>
      <c r="V26" s="42" t="n">
        <f aca="false">(D26+E26)*Assumptions!$B$64*Assumptions!$B$65*Assumptions!$B$66/1000000</f>
        <v>2.85445928336496</v>
      </c>
    </row>
    <row r="27" customFormat="false" ht="15" hidden="false" customHeight="true" outlineLevel="0" collapsed="false">
      <c r="A27" s="5" t="n">
        <v>2048</v>
      </c>
      <c r="B27" s="41" t="n">
        <f aca="false">'Fleet projections'!D56*1000000</f>
        <v>64010892.4000211</v>
      </c>
      <c r="C27" s="41" t="n">
        <f aca="false">'Fleet projections'!C169*1000000*'EV adoption'!B42</f>
        <v>15996230.8902074</v>
      </c>
      <c r="D27" s="41" t="n">
        <f aca="false">'Fleet projections'!D169*1000000*'EV adoption'!C42</f>
        <v>14138242.7734124</v>
      </c>
      <c r="E27" s="41" t="n">
        <f aca="false">'Fleet projections'!E169*1000000*'EV adoption'!D42</f>
        <v>2279198.76268287</v>
      </c>
      <c r="F27" s="41" t="n">
        <f aca="false">'Fleet projections'!F169*1000000*'EV adoption'!E42</f>
        <v>928578.009948237</v>
      </c>
      <c r="G27" s="41" t="n">
        <f aca="false">'Fleet projections'!G169*1000000*'EV adoption'!F42</f>
        <v>26926.254252575</v>
      </c>
      <c r="H27" s="41" t="n">
        <f aca="false">'Fleet projections'!H169*1000000*'EV adoption'!G42</f>
        <v>19508.8080313253</v>
      </c>
      <c r="I27" s="41" t="n">
        <f aca="false">SUM(C27:H27)</f>
        <v>33388685.4985348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150.767986879274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80.2026164067054</v>
      </c>
      <c r="L27" s="41" t="n">
        <f aca="false">((D27*Assumptions!$D$7+E27*Assumptions!$D$8)*Assumptions!$B$51+C27*Assumptions!$D$6*Assumptions!$B$56)/Assumptions!$B$52</f>
        <v>12435455.1618226</v>
      </c>
      <c r="M27" s="41" t="n">
        <f aca="false">(D27*Assumptions!$D$7+E27*Assumptions!$D$8)*(1-Assumptions!$B$51)/Assumptions!$B$26</f>
        <v>1584764.18454245</v>
      </c>
      <c r="N27" s="41" t="n">
        <f aca="false">(D27*(1-Assumptions!$D$7)+E27*(1-Assumptions!$D$8))/Assumptions!$B$27</f>
        <v>839865.39982712</v>
      </c>
      <c r="O27" s="41" t="n">
        <f aca="false">(D27+E27)/Assumptions!$B$28</f>
        <v>273624.025601588</v>
      </c>
      <c r="P27" s="41" t="n">
        <f aca="false">(F27+G27+H27)/Assumptions!$B$29</f>
        <v>390005.228892855</v>
      </c>
      <c r="Q27" s="41" t="n">
        <f aca="false">C27*(1-Assumptions!$D$6)/Assumptions!$B$30</f>
        <v>31992.4617804149</v>
      </c>
      <c r="R27" s="42" t="n">
        <f aca="false">(L27*Assumptions!$B$53+M27*Assumptions!$B$35+N27*Assumptions!$B$36+O27*Assumptions!$B$37+P27*Assumptions!$B$38+Q27*Assumptions!$B$39)/1000000000</f>
        <v>68.8806244953526</v>
      </c>
      <c r="S27" s="42" t="n">
        <f aca="false">K27*1000000*Assumptions!$B$43/1000000000</f>
        <v>36.0911773830174</v>
      </c>
      <c r="T27" s="42" t="n">
        <f aca="false">R27+S27</f>
        <v>104.97180187837</v>
      </c>
      <c r="U27" s="42" t="n">
        <f aca="false">J27*Assumptions!$B$59*1000/8760/'Load profile'!AG75</f>
        <v>30.7156364509301</v>
      </c>
      <c r="V27" s="42" t="n">
        <f aca="false">(D27+E27)*Assumptions!$B$64*Assumptions!$B$65*Assumptions!$B$66/1000000</f>
        <v>3.44766272258</v>
      </c>
    </row>
    <row r="28" customFormat="false" ht="15" hidden="false" customHeight="true" outlineLevel="0" collapsed="false">
      <c r="A28" s="5" t="n">
        <v>2049</v>
      </c>
      <c r="B28" s="41" t="n">
        <f aca="false">'Fleet projections'!D57*1000000</f>
        <v>67121776.0049829</v>
      </c>
      <c r="C28" s="41" t="n">
        <f aca="false">'Fleet projections'!C170*1000000*'EV adoption'!B43</f>
        <v>18436627.4281368</v>
      </c>
      <c r="D28" s="41" t="n">
        <f aca="false">'Fleet projections'!D170*1000000*'EV adoption'!C43</f>
        <v>16805865.9515312</v>
      </c>
      <c r="E28" s="41" t="n">
        <f aca="false">'Fleet projections'!E170*1000000*'EV adoption'!D43</f>
        <v>2693351.96372851</v>
      </c>
      <c r="F28" s="41" t="n">
        <f aca="false">'Fleet projections'!F170*1000000*'EV adoption'!E43</f>
        <v>1124385.14154204</v>
      </c>
      <c r="G28" s="41" t="n">
        <f aca="false">'Fleet projections'!G170*1000000*'EV adoption'!F43</f>
        <v>31214.8383213553</v>
      </c>
      <c r="H28" s="41" t="n">
        <f aca="false">'Fleet projections'!H170*1000000*'EV adoption'!G43</f>
        <v>23249.6655784724</v>
      </c>
      <c r="I28" s="41" t="n">
        <f aca="false">SUM(C28:H28)</f>
        <v>39114694.9888385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179.802828695348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96.1062172067173</v>
      </c>
      <c r="L28" s="41" t="n">
        <f aca="false">((D28*Assumptions!$D$7+E28*Assumptions!$D$8)*Assumptions!$B$51+C28*Assumptions!$D$6*Assumptions!$B$56)/Assumptions!$B$52</f>
        <v>14489560.0928802</v>
      </c>
      <c r="M28" s="41" t="n">
        <f aca="false">(D28*Assumptions!$D$7+E28*Assumptions!$D$8)*(1-Assumptions!$B$51)/Assumptions!$B$26</f>
        <v>1882587.99243276</v>
      </c>
      <c r="N28" s="41" t="n">
        <f aca="false">(D28*(1-Assumptions!$D$7)+E28*(1-Assumptions!$D$8))/Assumptions!$B$27</f>
        <v>997405.495460725</v>
      </c>
      <c r="O28" s="41" t="n">
        <f aca="false">(D28+E28)/Assumptions!$B$28</f>
        <v>324986.965254329</v>
      </c>
      <c r="P28" s="41" t="n">
        <f aca="false">(F28+G28+H28)/Assumptions!$B$29</f>
        <v>471539.858176749</v>
      </c>
      <c r="Q28" s="41" t="n">
        <f aca="false">C28*(1-Assumptions!$D$6)/Assumptions!$B$30</f>
        <v>36873.2548562737</v>
      </c>
      <c r="R28" s="42" t="n">
        <f aca="false">(L28*Assumptions!$B$53+M28*Assumptions!$B$35+N28*Assumptions!$B$36+O28*Assumptions!$B$37+P28*Assumptions!$B$38+Q28*Assumptions!$B$39)/1000000000</f>
        <v>82.0683344659667</v>
      </c>
      <c r="S28" s="42" t="n">
        <f aca="false">K28*1000000*Assumptions!$B$43/1000000000</f>
        <v>43.2477977430228</v>
      </c>
      <c r="T28" s="42" t="n">
        <f aca="false">R28+S28</f>
        <v>125.316132208989</v>
      </c>
      <c r="U28" s="42" t="n">
        <f aca="false">J28*Assumptions!$B$59*1000/8760/'Load profile'!AH75</f>
        <v>36.8159565402105</v>
      </c>
      <c r="V28" s="42" t="n">
        <f aca="false">(D28+E28)*Assumptions!$B$64*Assumptions!$B$65*Assumptions!$B$66/1000000</f>
        <v>4.09483576220455</v>
      </c>
    </row>
    <row r="29" customFormat="false" ht="15" hidden="false" customHeight="true" outlineLevel="0" collapsed="false">
      <c r="A29" s="5" t="n">
        <v>2050</v>
      </c>
      <c r="B29" s="41" t="n">
        <f aca="false">'Fleet projections'!D58*1000000</f>
        <v>70296101.4549898</v>
      </c>
      <c r="C29" s="41" t="n">
        <f aca="false">'Fleet projections'!C171*1000000*'EV adoption'!B44</f>
        <v>20874219.5679038</v>
      </c>
      <c r="D29" s="41" t="n">
        <f aca="false">'Fleet projections'!D171*1000000*'EV adoption'!C44</f>
        <v>19635352.3368276</v>
      </c>
      <c r="E29" s="41" t="n">
        <f aca="false">'Fleet projections'!E171*1000000*'EV adoption'!D44</f>
        <v>3139254.33637148</v>
      </c>
      <c r="F29" s="41" t="n">
        <f aca="false">'Fleet projections'!F171*1000000*'EV adoption'!E44</f>
        <v>1348201.70193666</v>
      </c>
      <c r="G29" s="41" t="n">
        <f aca="false">'Fleet projections'!G171*1000000*'EV adoption'!F44</f>
        <v>35673.5830938799</v>
      </c>
      <c r="H29" s="41" t="n">
        <f aca="false">'Fleet projections'!H171*1000000*'EV adoption'!G44</f>
        <v>27345.0740856947</v>
      </c>
      <c r="I29" s="41" t="n">
        <f aca="false">SUM(C29:H29)</f>
        <v>45060046.6002192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211.327349508989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113.781545027646</v>
      </c>
      <c r="L29" s="41" t="n">
        <f aca="false">((D29*Assumptions!$D$7+E29*Assumptions!$D$8)*Assumptions!$B$51+C29*Assumptions!$D$6*Assumptions!$B$56)/Assumptions!$B$52</f>
        <v>16594251.8489017</v>
      </c>
      <c r="M29" s="41" t="n">
        <f aca="false">(D29*Assumptions!$D$7+E29*Assumptions!$D$8)*(1-Assumptions!$B$51)/Assumptions!$B$26</f>
        <v>2198979.30891063</v>
      </c>
      <c r="N29" s="41" t="n">
        <f aca="false">(D29*(1-Assumptions!$D$7)+E29*(1-Assumptions!$D$8))/Assumptions!$B$27</f>
        <v>1164890.78646305</v>
      </c>
      <c r="O29" s="41" t="n">
        <f aca="false">(D29+E29)/Assumptions!$B$28</f>
        <v>379576.777886652</v>
      </c>
      <c r="P29" s="41" t="n">
        <f aca="false">(F29+G29+H29)/Assumptions!$B$29</f>
        <v>564488.143646495</v>
      </c>
      <c r="Q29" s="41" t="n">
        <f aca="false">C29*(1-Assumptions!$D$6)/Assumptions!$B$30</f>
        <v>41748.4391358077</v>
      </c>
      <c r="R29" s="42" t="n">
        <f aca="false">(L29*Assumptions!$B$53+M29*Assumptions!$B$35+N29*Assumptions!$B$36+O29*Assumptions!$B$37+P29*Assumptions!$B$38+Q29*Assumptions!$B$39)/1000000000</f>
        <v>96.4943873499437</v>
      </c>
      <c r="S29" s="42" t="n">
        <f aca="false">K29*1000000*Assumptions!$B$43/1000000000</f>
        <v>51.2016952624409</v>
      </c>
      <c r="T29" s="42" t="n">
        <f aca="false">R29+S29</f>
        <v>147.696082612385</v>
      </c>
      <c r="U29" s="42" t="n">
        <f aca="false">J29*Assumptions!$B$59*1000/8760/'Load profile'!AI75</f>
        <v>43.5602613932338</v>
      </c>
      <c r="V29" s="42" t="n">
        <f aca="false">(D29+E29)*Assumptions!$B$64*Assumptions!$B$65*Assumptions!$B$66/1000000</f>
        <v>4.78266740137182</v>
      </c>
    </row>
    <row r="30" customFormat="false" ht="15" hidden="false" customHeight="true" outlineLevel="0" collapsed="false">
      <c r="A30" s="5" t="n">
        <v>2051</v>
      </c>
      <c r="B30" s="41" t="n">
        <f aca="false">'Fleet projections'!D59*1000000</f>
        <v>73529577.1068626</v>
      </c>
      <c r="C30" s="41" t="n">
        <f aca="false">'Fleet projections'!C172*1000000*'EV adoption'!B45</f>
        <v>23261387.3312149</v>
      </c>
      <c r="D30" s="41" t="n">
        <f aca="false">'Fleet projections'!D172*1000000*'EV adoption'!C45</f>
        <v>22561713.562058</v>
      </c>
      <c r="E30" s="41" t="n">
        <f aca="false">'Fleet projections'!E172*1000000*'EV adoption'!D45</f>
        <v>3609449.84275598</v>
      </c>
      <c r="F30" s="41" t="n">
        <f aca="false">'Fleet projections'!F172*1000000*'EV adoption'!E45</f>
        <v>1599836.92642551</v>
      </c>
      <c r="G30" s="41" t="n">
        <f aca="false">'Fleet projections'!G172*1000000*'EV adoption'!F45</f>
        <v>40221.3406900287</v>
      </c>
      <c r="H30" s="41" t="n">
        <f aca="false">'Fleet projections'!H172*1000000*'EV adoption'!G45</f>
        <v>31736.5800737692</v>
      </c>
      <c r="I30" s="41" t="n">
        <f aca="false">SUM(C30:H30)</f>
        <v>51104345.5832182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244.874357958809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133.10037696944</v>
      </c>
      <c r="L30" s="41" t="n">
        <f aca="false">((D30*Assumptions!$D$7+E30*Assumptions!$D$8)*Assumptions!$B$51+C30*Assumptions!$D$6*Assumptions!$B$56)/Assumptions!$B$52</f>
        <v>18705957.9299625</v>
      </c>
      <c r="M30" s="41" t="n">
        <f aca="false">(D30*Assumptions!$D$7+E30*Assumptions!$D$8)*(1-Assumptions!$B$51)/Assumptions!$B$26</f>
        <v>2526880.0944125</v>
      </c>
      <c r="N30" s="41" t="n">
        <f aca="false">(D30*(1-Assumptions!$D$7)+E30*(1-Assumptions!$D$8))/Assumptions!$B$27</f>
        <v>1338636.91893033</v>
      </c>
      <c r="O30" s="41" t="n">
        <f aca="false">(D30+E30)/Assumptions!$B$28</f>
        <v>436186.056746899</v>
      </c>
      <c r="P30" s="41" t="n">
        <f aca="false">(F30+G30+H30)/Assumptions!$B$29</f>
        <v>668717.938875722</v>
      </c>
      <c r="Q30" s="41" t="n">
        <f aca="false">C30*(1-Assumptions!$D$6)/Assumptions!$B$30</f>
        <v>46522.7746624299</v>
      </c>
      <c r="R30" s="42" t="n">
        <f aca="false">(L30*Assumptions!$B$53+M30*Assumptions!$B$35+N30*Assumptions!$B$36+O30*Assumptions!$B$37+P30*Assumptions!$B$38+Q30*Assumptions!$B$39)/1000000000</f>
        <v>112.008243839094</v>
      </c>
      <c r="S30" s="42" t="n">
        <f aca="false">K30*1000000*Assumptions!$B$43/1000000000</f>
        <v>59.8951696362479</v>
      </c>
      <c r="T30" s="42" t="n">
        <f aca="false">R30+S30</f>
        <v>171.903413475342</v>
      </c>
      <c r="U30" s="42" t="n">
        <f aca="false">J30*Assumptions!$B$59*1000/8760/'Load profile'!AJ75</f>
        <v>50.8819966360115</v>
      </c>
      <c r="V30" s="42" t="n">
        <f aca="false">(D30+E30)*Assumptions!$B$64*Assumptions!$B$65*Assumptions!$B$66/1000000</f>
        <v>5.49594431501093</v>
      </c>
    </row>
    <row r="31" customFormat="false" ht="15" hidden="false" customHeight="true" outlineLevel="0" collapsed="false">
      <c r="A31" s="5" t="n">
        <v>2052</v>
      </c>
      <c r="B31" s="41" t="n">
        <f aca="false">'Fleet projections'!D60*1000000</f>
        <v>76813270.5317861</v>
      </c>
      <c r="C31" s="41" t="n">
        <f aca="false">'Fleet projections'!C173*1000000*'EV adoption'!B46</f>
        <v>25564193.8087171</v>
      </c>
      <c r="D31" s="41" t="n">
        <f aca="false">'Fleet projections'!D173*1000000*'EV adoption'!C46</f>
        <v>25519214.3063366</v>
      </c>
      <c r="E31" s="41" t="n">
        <f aca="false">'Fleet projections'!E173*1000000*'EV adoption'!D46</f>
        <v>4095434.21635663</v>
      </c>
      <c r="F31" s="41" t="n">
        <f aca="false">'Fleet projections'!F173*1000000*'EV adoption'!E46</f>
        <v>1877799.84716338</v>
      </c>
      <c r="G31" s="41" t="n">
        <f aca="false">'Fleet projections'!G173*1000000*'EV adoption'!F46</f>
        <v>44780.974012809</v>
      </c>
      <c r="H31" s="41" t="n">
        <f aca="false">'Fleet projections'!H173*1000000*'EV adoption'!G46</f>
        <v>36349.8549456805</v>
      </c>
      <c r="I31" s="41" t="n">
        <f aca="false">SUM(C31:H31)</f>
        <v>57137773.0075322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279.911392926111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153.868217075881</v>
      </c>
      <c r="L31" s="41" t="n">
        <f aca="false">((D31*Assumptions!$D$7+E31*Assumptions!$D$8)*Assumptions!$B$51+C31*Assumptions!$D$6*Assumptions!$B$56)/Assumptions!$B$52</f>
        <v>20787518.0955677</v>
      </c>
      <c r="M31" s="41" t="n">
        <f aca="false">(D31*Assumptions!$D$7+E31*Assumptions!$D$8)*(1-Assumptions!$B$51)/Assumptions!$B$26</f>
        <v>2859078.99686041</v>
      </c>
      <c r="N31" s="41" t="n">
        <f aca="false">(D31*(1-Assumptions!$D$7)+E31*(1-Assumptions!$D$8))/Assumptions!$B$27</f>
        <v>1514861.0446043</v>
      </c>
      <c r="O31" s="41" t="n">
        <f aca="false">(D31+E31)/Assumptions!$B$28</f>
        <v>493577.475378221</v>
      </c>
      <c r="P31" s="41" t="n">
        <f aca="false">(F31+G31+H31)/Assumptions!$B$29</f>
        <v>783572.270448748</v>
      </c>
      <c r="Q31" s="41" t="n">
        <f aca="false">C31*(1-Assumptions!$D$6)/Assumptions!$B$30</f>
        <v>51128.3876174343</v>
      </c>
      <c r="R31" s="42" t="n">
        <f aca="false">(L31*Assumptions!$B$53+M31*Assumptions!$B$35+N31*Assumptions!$B$36+O31*Assumptions!$B$37+P31*Assumptions!$B$38+Q31*Assumptions!$B$39)/1000000000</f>
        <v>128.423197659776</v>
      </c>
      <c r="S31" s="42" t="n">
        <f aca="false">K31*1000000*Assumptions!$B$43/1000000000</f>
        <v>69.2406976841465</v>
      </c>
      <c r="T31" s="42" t="n">
        <f aca="false">R31+S31</f>
        <v>197.663895343922</v>
      </c>
      <c r="U31" s="42" t="n">
        <f aca="false">J31*Assumptions!$B$59*1000/8760/'Load profile'!AK75</f>
        <v>58.6916068203045</v>
      </c>
      <c r="V31" s="42" t="n">
        <f aca="false">(D31+E31)*Assumptions!$B$64*Assumptions!$B$65*Assumptions!$B$66/1000000</f>
        <v>6.21907618976558</v>
      </c>
    </row>
    <row r="32" customFormat="false" ht="15" hidden="false" customHeight="true" outlineLevel="0" collapsed="false">
      <c r="A32" s="5" t="n">
        <v>2053</v>
      </c>
      <c r="B32" s="41" t="n">
        <f aca="false">'Fleet projections'!D61*1000000</f>
        <v>80142249.8559187</v>
      </c>
      <c r="C32" s="41" t="n">
        <f aca="false">'Fleet projections'!C174*1000000*'EV adoption'!B47</f>
        <v>27764709.6312442</v>
      </c>
      <c r="D32" s="41" t="n">
        <f aca="false">'Fleet projections'!D174*1000000*'EV adoption'!C47</f>
        <v>28451014.9921084</v>
      </c>
      <c r="E32" s="41" t="n">
        <f aca="false">'Fleet projections'!E174*1000000*'EV adoption'!D47</f>
        <v>4588872.59427298</v>
      </c>
      <c r="F32" s="41" t="n">
        <f aca="false">'Fleet projections'!F174*1000000*'EV adoption'!E47</f>
        <v>2179453.81602705</v>
      </c>
      <c r="G32" s="41" t="n">
        <f aca="false">'Fleet projections'!G174*1000000*'EV adoption'!F47</f>
        <v>49289.6400510693</v>
      </c>
      <c r="H32" s="41" t="n">
        <f aca="false">'Fleet projections'!H174*1000000*'EV adoption'!G47</f>
        <v>41105.1627594833</v>
      </c>
      <c r="I32" s="41" t="n">
        <f aca="false">SUM(C32:H32)</f>
        <v>63074445.8364632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315.914162920702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175.84794478072</v>
      </c>
      <c r="L32" s="41" t="n">
        <f aca="false">((D32*Assumptions!$D$7+E32*Assumptions!$D$8)*Assumptions!$B$51+C32*Assumptions!$D$6*Assumptions!$B$56)/Assumptions!$B$52</f>
        <v>22812302.2582098</v>
      </c>
      <c r="M32" s="41" t="n">
        <f aca="false">(D32*Assumptions!$D$7+E32*Assumptions!$D$8)*(1-Assumptions!$B$51)/Assumptions!$B$26</f>
        <v>3189266.94378132</v>
      </c>
      <c r="N32" s="41" t="n">
        <f aca="false">(D32*(1-Assumptions!$D$7)+E32*(1-Assumptions!$D$8))/Assumptions!$B$27</f>
        <v>1690234.98427135</v>
      </c>
      <c r="O32" s="41" t="n">
        <f aca="false">(D32+E32)/Assumptions!$B$28</f>
        <v>550664.793106357</v>
      </c>
      <c r="P32" s="41" t="n">
        <f aca="false">(F32+G32+H32)/Assumptions!$B$29</f>
        <v>907939.44753504</v>
      </c>
      <c r="Q32" s="41" t="n">
        <f aca="false">C32*(1-Assumptions!$D$6)/Assumptions!$B$30</f>
        <v>55529.4192624884</v>
      </c>
      <c r="R32" s="42" t="n">
        <f aca="false">(L32*Assumptions!$B$53+M32*Assumptions!$B$35+N32*Assumptions!$B$36+O32*Assumptions!$B$37+P32*Assumptions!$B$38+Q32*Assumptions!$B$39)/1000000000</f>
        <v>145.539366684005</v>
      </c>
      <c r="S32" s="42" t="n">
        <f aca="false">K32*1000000*Assumptions!$B$43/1000000000</f>
        <v>79.131575151324</v>
      </c>
      <c r="T32" s="42" t="n">
        <f aca="false">R32+S32</f>
        <v>224.670941835329</v>
      </c>
      <c r="U32" s="42" t="n">
        <f aca="false">J32*Assumptions!$B$59*1000/8760/'Load profile'!AL75</f>
        <v>66.8883542895032</v>
      </c>
      <c r="V32" s="42" t="n">
        <f aca="false">(D32+E32)*Assumptions!$B$64*Assumptions!$B$65*Assumptions!$B$66/1000000</f>
        <v>6.9383763931401</v>
      </c>
    </row>
    <row r="33" customFormat="false" ht="15" hidden="false" customHeight="true" outlineLevel="0" collapsed="false">
      <c r="A33" s="5" t="n">
        <v>2054</v>
      </c>
      <c r="B33" s="41" t="n">
        <f aca="false">'Fleet projections'!D62*1000000</f>
        <v>83506913.2976323</v>
      </c>
      <c r="C33" s="41" t="n">
        <f aca="false">'Fleet projections'!C175*1000000*'EV adoption'!B48</f>
        <v>29855628.7896547</v>
      </c>
      <c r="D33" s="41" t="n">
        <f aca="false">'Fleet projections'!D175*1000000*'EV adoption'!C48</f>
        <v>31311032.9147148</v>
      </c>
      <c r="E33" s="41" t="n">
        <f aca="false">'Fleet projections'!E175*1000000*'EV adoption'!D48</f>
        <v>5081884.00555249</v>
      </c>
      <c r="F33" s="41" t="n">
        <f aca="false">'Fleet projections'!F175*1000000*'EV adoption'!E48</f>
        <v>2500938.37267227</v>
      </c>
      <c r="G33" s="41" t="n">
        <f aca="false">'Fleet projections'!G175*1000000*'EV adoption'!F48</f>
        <v>53696.8737735416</v>
      </c>
      <c r="H33" s="41" t="n">
        <f aca="false">'Fleet projections'!H175*1000000*'EV adoption'!G48</f>
        <v>45920.9099407792</v>
      </c>
      <c r="I33" s="41" t="n">
        <f aca="false">SUM(C33:H33)</f>
        <v>68849101.8663086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352.372720861054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198.755618794726</v>
      </c>
      <c r="L33" s="41" t="n">
        <f aca="false">((D33*Assumptions!$D$7+E33*Assumptions!$D$8)*Assumptions!$B$51+C33*Assumptions!$D$6*Assumptions!$B$56)/Assumptions!$B$52</f>
        <v>24762099.2521135</v>
      </c>
      <c r="M33" s="41" t="n">
        <f aca="false">(D33*Assumptions!$D$7+E33*Assumptions!$D$8)*(1-Assumptions!$B$51)/Assumptions!$B$26</f>
        <v>3512244.59188791</v>
      </c>
      <c r="N33" s="41" t="n">
        <f aca="false">(D33*(1-Assumptions!$D$7)+E33*(1-Assumptions!$D$8))/Assumptions!$B$27</f>
        <v>1861994.87939297</v>
      </c>
      <c r="O33" s="41" t="n">
        <f aca="false">(D33+E33)/Assumptions!$B$28</f>
        <v>606548.615337787</v>
      </c>
      <c r="P33" s="41" t="n">
        <f aca="false">(F33+G33+H33)/Assumptions!$B$29</f>
        <v>1040222.46255464</v>
      </c>
      <c r="Q33" s="41" t="n">
        <f aca="false">C33*(1-Assumptions!$D$6)/Assumptions!$B$30</f>
        <v>59711.2575793094</v>
      </c>
      <c r="R33" s="42" t="n">
        <f aca="false">(L33*Assumptions!$B$53+M33*Assumptions!$B$35+N33*Assumptions!$B$36+O33*Assumptions!$B$37+P33*Assumptions!$B$38+Q33*Assumptions!$B$39)/1000000000</f>
        <v>163.139781888397</v>
      </c>
      <c r="S33" s="42" t="n">
        <f aca="false">K33*1000000*Assumptions!$B$43/1000000000</f>
        <v>89.4400284576266</v>
      </c>
      <c r="T33" s="42" t="n">
        <f aca="false">R33+S33</f>
        <v>252.579810346023</v>
      </c>
      <c r="U33" s="42" t="n">
        <f aca="false">J33*Assumptions!$B$59*1000/8760/'Load profile'!AM75</f>
        <v>75.3603756900572</v>
      </c>
      <c r="V33" s="42" t="n">
        <f aca="false">(D33+E33)*Assumptions!$B$64*Assumptions!$B$65*Assumptions!$B$66/1000000</f>
        <v>7.64251255325612</v>
      </c>
    </row>
    <row r="34" customFormat="false" ht="15" hidden="false" customHeight="true" outlineLevel="0" collapsed="false">
      <c r="A34" s="5" t="n">
        <v>2055</v>
      </c>
      <c r="B34" s="41" t="n">
        <f aca="false">'Fleet projections'!D63*1000000</f>
        <v>86899389.8110927</v>
      </c>
      <c r="C34" s="41" t="n">
        <f aca="false">'Fleet projections'!C176*1000000*'EV adoption'!B49</f>
        <v>31838883.0209914</v>
      </c>
      <c r="D34" s="41" t="n">
        <f aca="false">'Fleet projections'!D176*1000000*'EV adoption'!C49</f>
        <v>34067712.7072476</v>
      </c>
      <c r="E34" s="41" t="n">
        <f aca="false">'Fleet projections'!E176*1000000*'EV adoption'!D49</f>
        <v>5567896.3099898</v>
      </c>
      <c r="F34" s="41" t="n">
        <f aca="false">'Fleet projections'!F176*1000000*'EV adoption'!E49</f>
        <v>2837579.51929478</v>
      </c>
      <c r="G34" s="41" t="n">
        <f aca="false">'Fleet projections'!G176*1000000*'EV adoption'!F49</f>
        <v>57968.6068160958</v>
      </c>
      <c r="H34" s="41" t="n">
        <f aca="false">'Fleet projections'!H176*1000000*'EV adoption'!G49</f>
        <v>50723.1762096845</v>
      </c>
      <c r="I34" s="41" t="n">
        <f aca="false">SUM(C34:H34)</f>
        <v>74420763.3405493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388.837830471894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222.288230020208</v>
      </c>
      <c r="L34" s="41" t="n">
        <f aca="false">((D34*Assumptions!$D$7+E34*Assumptions!$D$8)*Assumptions!$B$51+C34*Assumptions!$D$6*Assumptions!$B$56)/Assumptions!$B$52</f>
        <v>26627659.2936229</v>
      </c>
      <c r="M34" s="41" t="n">
        <f aca="false">(D34*Assumptions!$D$7+E34*Assumptions!$D$8)*(1-Assumptions!$B$51)/Assumptions!$B$26</f>
        <v>3824363.49397399</v>
      </c>
      <c r="N34" s="41" t="n">
        <f aca="false">(D34*(1-Assumptions!$D$7)+E34*(1-Assumptions!$D$8))/Assumptions!$B$27</f>
        <v>2028179.58677845</v>
      </c>
      <c r="O34" s="41" t="n">
        <f aca="false">(D34+E34)/Assumptions!$B$28</f>
        <v>660593.483620623</v>
      </c>
      <c r="P34" s="41" t="n">
        <f aca="false">(F34+G34+H34)/Assumptions!$B$29</f>
        <v>1178508.52092822</v>
      </c>
      <c r="Q34" s="41" t="n">
        <f aca="false">C34*(1-Assumptions!$D$6)/Assumptions!$B$30</f>
        <v>63677.7660419827</v>
      </c>
      <c r="R34" s="42" t="n">
        <f aca="false">(L34*Assumptions!$B$53+M34*Assumptions!$B$35+N34*Assumptions!$B$36+O34*Assumptions!$B$37+P34*Assumptions!$B$38+Q34*Assumptions!$B$39)/1000000000</f>
        <v>181.010148819694</v>
      </c>
      <c r="S34" s="42" t="n">
        <f aca="false">K34*1000000*Assumptions!$B$43/1000000000</f>
        <v>100.029703509094</v>
      </c>
      <c r="T34" s="42" t="n">
        <f aca="false">R34+S34</f>
        <v>281.039852328788</v>
      </c>
      <c r="U34" s="42" t="n">
        <f aca="false">J34*Assumptions!$B$59*1000/8760/'Load profile'!AN75</f>
        <v>83.9954982050875</v>
      </c>
      <c r="V34" s="42" t="n">
        <f aca="false">(D34+E34)*Assumptions!$B$64*Assumptions!$B$65*Assumptions!$B$66/1000000</f>
        <v>8.32347789361985</v>
      </c>
    </row>
    <row r="35" customFormat="false" ht="15" hidden="false" customHeight="true" outlineLevel="0" collapsed="false">
      <c r="A35" s="5" t="n">
        <v>2056</v>
      </c>
      <c r="B35" s="41" t="n">
        <f aca="false">'Fleet projections'!D64*1000000</f>
        <v>90314305.0524436</v>
      </c>
      <c r="C35" s="41" t="n">
        <f aca="false">'Fleet projections'!C177*1000000*'EV adoption'!B50</f>
        <v>33722668.6051494</v>
      </c>
      <c r="D35" s="41" t="n">
        <f aca="false">'Fleet projections'!D177*1000000*'EV adoption'!C50</f>
        <v>36703773.1072331</v>
      </c>
      <c r="E35" s="41" t="n">
        <f aca="false">'Fleet projections'!E177*1000000*'EV adoption'!D50</f>
        <v>6042002.51136601</v>
      </c>
      <c r="F35" s="41" t="n">
        <f aca="false">'Fleet projections'!F177*1000000*'EV adoption'!E50</f>
        <v>3184304.62453372</v>
      </c>
      <c r="G35" s="41" t="n">
        <f aca="false">'Fleet projections'!G177*1000000*'EV adoption'!F50</f>
        <v>62086.4152141177</v>
      </c>
      <c r="H35" s="41" t="n">
        <f aca="false">'Fleet projections'!H177*1000000*'EV adoption'!G50</f>
        <v>55451.2593602271</v>
      </c>
      <c r="I35" s="41" t="n">
        <f aca="false">SUM(C35:H35)</f>
        <v>79770286.5228566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424.939718599445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246.145021201019</v>
      </c>
      <c r="L35" s="41" t="n">
        <f aca="false">((D35*Assumptions!$D$7+E35*Assumptions!$D$8)*Assumptions!$B$51+C35*Assumptions!$D$6*Assumptions!$B$56)/Assumptions!$B$52</f>
        <v>28407211.2999868</v>
      </c>
      <c r="M35" s="41" t="n">
        <f aca="false">(D35*Assumptions!$D$7+E35*Assumptions!$D$8)*(1-Assumptions!$B$51)/Assumptions!$B$26</f>
        <v>4123527.49907576</v>
      </c>
      <c r="N35" s="41" t="n">
        <f aca="false">(D35*(1-Assumptions!$D$7)+E35*(1-Assumptions!$D$8))/Assumptions!$B$27</f>
        <v>2187638.801858</v>
      </c>
      <c r="O35" s="41" t="n">
        <f aca="false">(D35+E35)/Assumptions!$B$28</f>
        <v>712429.593643318</v>
      </c>
      <c r="P35" s="41" t="n">
        <f aca="false">(F35+G35+H35)/Assumptions!$B$29</f>
        <v>1320736.91964322</v>
      </c>
      <c r="Q35" s="41" t="n">
        <f aca="false">C35*(1-Assumptions!$D$6)/Assumptions!$B$30</f>
        <v>67445.3372102989</v>
      </c>
      <c r="R35" s="42" t="n">
        <f aca="false">(L35*Assumptions!$B$53+M35*Assumptions!$B$35+N35*Assumptions!$B$36+O35*Assumptions!$B$37+P35*Assumptions!$B$38+Q35*Assumptions!$B$39)/1000000000</f>
        <v>198.950880762491</v>
      </c>
      <c r="S35" s="42" t="n">
        <f aca="false">K35*1000000*Assumptions!$B$43/1000000000</f>
        <v>110.765259540459</v>
      </c>
      <c r="T35" s="42" t="n">
        <f aca="false">R35+S35</f>
        <v>309.71614030295</v>
      </c>
      <c r="U35" s="42" t="n">
        <f aca="false">J35*Assumptions!$B$59*1000/8760/'Load profile'!AO75</f>
        <v>92.6882854898664</v>
      </c>
      <c r="V35" s="42" t="n">
        <f aca="false">(D35+E35)*Assumptions!$B$64*Assumptions!$B$65*Assumptions!$B$66/1000000</f>
        <v>8.9766128799058</v>
      </c>
    </row>
    <row r="36" customFormat="false" ht="15" hidden="false" customHeight="true" outlineLevel="0" collapsed="false">
      <c r="A36" s="5" t="n">
        <v>2057</v>
      </c>
      <c r="B36" s="41" t="n">
        <f aca="false">'Fleet projections'!D65*1000000</f>
        <v>93743073.0931674</v>
      </c>
      <c r="C36" s="41" t="n">
        <f aca="false">'Fleet projections'!C178*1000000*'EV adoption'!B51</f>
        <v>35516628.8559358</v>
      </c>
      <c r="D36" s="41" t="n">
        <f aca="false">'Fleet projections'!D178*1000000*'EV adoption'!C51</f>
        <v>39211671.226748</v>
      </c>
      <c r="E36" s="41" t="n">
        <f aca="false">'Fleet projections'!E178*1000000*'EV adoption'!D51</f>
        <v>6500630.11156148</v>
      </c>
      <c r="F36" s="41" t="n">
        <f aca="false">'Fleet projections'!F178*1000000*'EV adoption'!E51</f>
        <v>3535860.60581767</v>
      </c>
      <c r="G36" s="41" t="n">
        <f aca="false">'Fleet projections'!G178*1000000*'EV adoption'!F51</f>
        <v>66041.0886340206</v>
      </c>
      <c r="H36" s="41" t="n">
        <f aca="false">'Fleet projections'!H178*1000000*'EV adoption'!G51</f>
        <v>60056.7804073268</v>
      </c>
      <c r="I36" s="41" t="n">
        <f aca="false">SUM(C36:H36)</f>
        <v>84890888.6691044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460.366824673287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270.030659708513</v>
      </c>
      <c r="L36" s="41" t="n">
        <f aca="false">((D36*Assumptions!$D$7+E36*Assumptions!$D$8)*Assumptions!$B$51+C36*Assumptions!$D$6*Assumptions!$B$56)/Assumptions!$B$52</f>
        <v>30102714.6948853</v>
      </c>
      <c r="M36" s="41" t="n">
        <f aca="false">(D36*Assumptions!$D$7+E36*Assumptions!$D$8)*(1-Assumptions!$B$51)/Assumptions!$B$26</f>
        <v>4408714.38104191</v>
      </c>
      <c r="N36" s="41" t="n">
        <f aca="false">(D36*(1-Assumptions!$D$7)+E36*(1-Assumptions!$D$8))/Assumptions!$B$27</f>
        <v>2339786.98451182</v>
      </c>
      <c r="O36" s="41" t="n">
        <f aca="false">(D36+E36)/Assumptions!$B$28</f>
        <v>761871.688971825</v>
      </c>
      <c r="P36" s="41" t="n">
        <f aca="false">(F36+G36+H36)/Assumptions!$B$29</f>
        <v>1464783.38994361</v>
      </c>
      <c r="Q36" s="41" t="n">
        <f aca="false">C36*(1-Assumptions!$D$6)/Assumptions!$B$30</f>
        <v>71033.2577118717</v>
      </c>
      <c r="R36" s="42" t="n">
        <f aca="false">(L36*Assumptions!$B$53+M36*Assumptions!$B$35+N36*Assumptions!$B$36+O36*Assumptions!$B$37+P36*Assumptions!$B$38+Q36*Assumptions!$B$39)/1000000000</f>
        <v>216.773614163167</v>
      </c>
      <c r="S36" s="42" t="n">
        <f aca="false">K36*1000000*Assumptions!$B$43/1000000000</f>
        <v>121.513796868831</v>
      </c>
      <c r="T36" s="42" t="n">
        <f aca="false">R36+S36</f>
        <v>338.287411031998</v>
      </c>
      <c r="U36" s="42" t="n">
        <f aca="false">J36*Assumptions!$B$59*1000/8760/'Load profile'!AP75</f>
        <v>101.339448374495</v>
      </c>
      <c r="V36" s="42" t="n">
        <f aca="false">(D36+E36)*Assumptions!$B$64*Assumptions!$B$65*Assumptions!$B$66/1000000</f>
        <v>9.599583281045</v>
      </c>
    </row>
    <row r="37" customFormat="false" ht="15" hidden="false" customHeight="true" outlineLevel="0" collapsed="false">
      <c r="A37" s="5" t="n">
        <v>2058</v>
      </c>
      <c r="B37" s="41" t="n">
        <f aca="false">'Fleet projections'!D66*1000000</f>
        <v>97175524.7099644</v>
      </c>
      <c r="C37" s="41" t="n">
        <f aca="false">'Fleet projections'!C179*1000000*'EV adoption'!B52</f>
        <v>37230442.6309109</v>
      </c>
      <c r="D37" s="41" t="n">
        <f aca="false">'Fleet projections'!D179*1000000*'EV adoption'!C52</f>
        <v>41591174.4985722</v>
      </c>
      <c r="E37" s="41" t="n">
        <f aca="false">'Fleet projections'!E179*1000000*'EV adoption'!D52</f>
        <v>6941470.85771827</v>
      </c>
      <c r="F37" s="41" t="n">
        <f aca="false">'Fleet projections'!F179*1000000*'EV adoption'!E52</f>
        <v>3887213.24312848</v>
      </c>
      <c r="G37" s="41" t="n">
        <f aca="false">'Fleet projections'!G179*1000000*'EV adoption'!F52</f>
        <v>69830.5290966536</v>
      </c>
      <c r="H37" s="41" t="n">
        <f aca="false">'Fleet projections'!H179*1000000*'EV adoption'!G52</f>
        <v>64504.5749944459</v>
      </c>
      <c r="I37" s="41" t="n">
        <f aca="false">SUM(C37:H37)</f>
        <v>89784636.3344209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494.869161632292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293.673036570631</v>
      </c>
      <c r="L37" s="41" t="n">
        <f aca="false">((D37*Assumptions!$D$7+E37*Assumptions!$D$8)*Assumptions!$B$51+C37*Assumptions!$D$6*Assumptions!$B$56)/Assumptions!$B$52</f>
        <v>31718459.0551765</v>
      </c>
      <c r="M37" s="41" t="n">
        <f aca="false">(D37*Assumptions!$D$7+E37*Assumptions!$D$8)*(1-Assumptions!$B$51)/Assumptions!$B$26</f>
        <v>4679727.76418609</v>
      </c>
      <c r="N37" s="41" t="n">
        <f aca="false">(D37*(1-Assumptions!$D$7)+E37*(1-Assumptions!$D$8))/Assumptions!$B$27</f>
        <v>2484477.85829551</v>
      </c>
      <c r="O37" s="41" t="n">
        <f aca="false">(D37+E37)/Assumptions!$B$28</f>
        <v>808877.422604841</v>
      </c>
      <c r="P37" s="41" t="n">
        <f aca="false">(F37+G37+H37)/Assumptions!$B$29</f>
        <v>1608619.33888783</v>
      </c>
      <c r="Q37" s="41" t="n">
        <f aca="false">C37*(1-Assumptions!$D$6)/Assumptions!$B$30</f>
        <v>74460.8852618218</v>
      </c>
      <c r="R37" s="42" t="n">
        <f aca="false">(L37*Assumptions!$B$53+M37*Assumptions!$B$35+N37*Assumptions!$B$36+O37*Assumptions!$B$37+P37*Assumptions!$B$38+Q37*Assumptions!$B$39)/1000000000</f>
        <v>234.310123568309</v>
      </c>
      <c r="S37" s="42" t="n">
        <f aca="false">K37*1000000*Assumptions!$B$43/1000000000</f>
        <v>132.152866456784</v>
      </c>
      <c r="T37" s="42" t="n">
        <f aca="false">R37+S37</f>
        <v>366.462990025093</v>
      </c>
      <c r="U37" s="42" t="n">
        <f aca="false">J37*Assumptions!$B$59*1000/8760/'Load profile'!AQ75</f>
        <v>109.860578582016</v>
      </c>
      <c r="V37" s="42" t="n">
        <f aca="false">(D37+E37)*Assumptions!$B$64*Assumptions!$B$65*Assumptions!$B$66/1000000</f>
        <v>10.191855524821</v>
      </c>
    </row>
    <row r="38" customFormat="false" ht="15" hidden="false" customHeight="true" outlineLevel="0" collapsed="false">
      <c r="A38" s="5" t="n">
        <v>2059</v>
      </c>
      <c r="B38" s="41" t="n">
        <f aca="false">'Fleet projections'!D67*1000000</f>
        <v>100605558.589369</v>
      </c>
      <c r="C38" s="41" t="n">
        <f aca="false">'Fleet projections'!C180*1000000*'EV adoption'!B53</f>
        <v>38874773.1550282</v>
      </c>
      <c r="D38" s="41" t="n">
        <f aca="false">'Fleet projections'!D180*1000000*'EV adoption'!C53</f>
        <v>43848947.0477466</v>
      </c>
      <c r="E38" s="41" t="n">
        <f aca="false">'Fleet projections'!E180*1000000*'EV adoption'!D53</f>
        <v>7363636.01540745</v>
      </c>
      <c r="F38" s="41" t="n">
        <f aca="false">'Fleet projections'!F180*1000000*'EV adoption'!E53</f>
        <v>4234064.12894785</v>
      </c>
      <c r="G38" s="41" t="n">
        <f aca="false">'Fleet projections'!G180*1000000*'EV adoption'!F53</f>
        <v>73461.0146300228</v>
      </c>
      <c r="H38" s="41" t="n">
        <f aca="false">'Fleet projections'!H180*1000000*'EV adoption'!G53</f>
        <v>68775.0876073471</v>
      </c>
      <c r="I38" s="41" t="n">
        <f aca="false">SUM(C38:H38)</f>
        <v>94463656.4493675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528.281934044934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316.851529377086</v>
      </c>
      <c r="L38" s="41" t="n">
        <f aca="false">((D38*Assumptions!$D$7+E38*Assumptions!$D$8)*Assumptions!$B$51+C38*Assumptions!$D$6*Assumptions!$B$56)/Assumptions!$B$52</f>
        <v>33261455.3141187</v>
      </c>
      <c r="M38" s="41" t="n">
        <f aca="false">(D38*Assumptions!$D$7+E38*Assumptions!$D$8)*(1-Assumptions!$B$51)/Assumptions!$B$26</f>
        <v>4937167.40593022</v>
      </c>
      <c r="N38" s="41" t="n">
        <f aca="false">(D38*(1-Assumptions!$D$7)+E38*(1-Assumptions!$D$8))/Assumptions!$B$27</f>
        <v>2621992.78661943</v>
      </c>
      <c r="O38" s="41" t="n">
        <f aca="false">(D38+E38)/Assumptions!$B$28</f>
        <v>853543.051052567</v>
      </c>
      <c r="P38" s="41" t="n">
        <f aca="false">(F38+G38+H38)/Assumptions!$B$29</f>
        <v>1750520.09247409</v>
      </c>
      <c r="Q38" s="41" t="n">
        <f aca="false">C38*(1-Assumptions!$D$6)/Assumptions!$B$30</f>
        <v>77749.5463100564</v>
      </c>
      <c r="R38" s="42" t="n">
        <f aca="false">(L38*Assumptions!$B$53+M38*Assumptions!$B$35+N38*Assumptions!$B$36+O38*Assumptions!$B$37+P38*Assumptions!$B$38+Q38*Assumptions!$B$39)/1000000000</f>
        <v>251.430419374834</v>
      </c>
      <c r="S38" s="42" t="n">
        <f aca="false">K38*1000000*Assumptions!$B$43/1000000000</f>
        <v>142.583188219689</v>
      </c>
      <c r="T38" s="42" t="n">
        <f aca="false">R38+S38</f>
        <v>394.013607594523</v>
      </c>
      <c r="U38" s="42" t="n">
        <f aca="false">J38*Assumptions!$B$59*1000/8760/'Load profile'!AR75</f>
        <v>118.182930461002</v>
      </c>
      <c r="V38" s="42" t="n">
        <f aca="false">(D38+E38)*Assumptions!$B$64*Assumptions!$B$65*Assumptions!$B$66/1000000</f>
        <v>10.7546424432624</v>
      </c>
    </row>
    <row r="39" customFormat="false" ht="15" hidden="false" customHeight="true" outlineLevel="0" collapsed="false">
      <c r="A39" s="5" t="n">
        <v>2060</v>
      </c>
      <c r="B39" s="41" t="n">
        <f aca="false">'Fleet projections'!D68*1000000</f>
        <v>104023244.539157</v>
      </c>
      <c r="C39" s="41" t="n">
        <f aca="false">'Fleet projections'!C181*1000000*'EV adoption'!B54</f>
        <v>40457598.6455229</v>
      </c>
      <c r="D39" s="41" t="n">
        <f aca="false">'Fleet projections'!D181*1000000*'EV adoption'!C54</f>
        <v>45992857.2546692</v>
      </c>
      <c r="E39" s="41" t="n">
        <f aca="false">'Fleet projections'!E181*1000000*'EV adoption'!D54</f>
        <v>7766820.39770387</v>
      </c>
      <c r="F39" s="41" t="n">
        <f aca="false">'Fleet projections'!F181*1000000*'EV adoption'!E54</f>
        <v>4572731.50957002</v>
      </c>
      <c r="G39" s="41" t="n">
        <f aca="false">'Fleet projections'!G181*1000000*'EV adoption'!F54</f>
        <v>76939.261480932</v>
      </c>
      <c r="H39" s="41" t="n">
        <f aca="false">'Fleet projections'!H181*1000000*'EV adoption'!G54</f>
        <v>72856.977334974</v>
      </c>
      <c r="I39" s="41" t="n">
        <f aca="false">SUM(C39:H39)</f>
        <v>98939804.0462818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560.478950744644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339.380102023893</v>
      </c>
      <c r="L39" s="41" t="n">
        <f aca="false">((D39*Assumptions!$D$7+E39*Assumptions!$D$8)*Assumptions!$B$51+C39*Assumptions!$D$6*Assumptions!$B$56)/Assumptions!$B$52</f>
        <v>34737831.6375866</v>
      </c>
      <c r="M39" s="41" t="n">
        <f aca="false">(D39*Assumptions!$D$7+E39*Assumptions!$D$8)*(1-Assumptions!$B$51)/Assumptions!$B$26</f>
        <v>5181797.25529471</v>
      </c>
      <c r="N39" s="41" t="n">
        <f aca="false">(D39*(1-Assumptions!$D$7)+E39*(1-Assumptions!$D$8))/Assumptions!$B$27</f>
        <v>2752707.38593285</v>
      </c>
      <c r="O39" s="41" t="n">
        <f aca="false">(D39+E39)/Assumptions!$B$28</f>
        <v>895994.627539551</v>
      </c>
      <c r="P39" s="41" t="n">
        <f aca="false">(F39+G39+H39)/Assumptions!$B$29</f>
        <v>1889011.09935437</v>
      </c>
      <c r="Q39" s="41" t="n">
        <f aca="false">C39*(1-Assumptions!$D$6)/Assumptions!$B$30</f>
        <v>80915.1972910457</v>
      </c>
      <c r="R39" s="42" t="n">
        <f aca="false">(L39*Assumptions!$B$53+M39*Assumptions!$B$35+N39*Assumptions!$B$36+O39*Assumptions!$B$37+P39*Assumptions!$B$38+Q39*Assumptions!$B$39)/1000000000</f>
        <v>268.026119844753</v>
      </c>
      <c r="S39" s="42" t="n">
        <f aca="false">K39*1000000*Assumptions!$B$43/1000000000</f>
        <v>152.721045910752</v>
      </c>
      <c r="T39" s="42" t="n">
        <f aca="false">R39+S39</f>
        <v>420.747165755504</v>
      </c>
      <c r="U39" s="42" t="n">
        <f aca="false">J39*Assumptions!$B$59*1000/8760/'Load profile'!AS75</f>
        <v>126.249709325019</v>
      </c>
      <c r="V39" s="42" t="n">
        <f aca="false">(D39+E39)*Assumptions!$B$64*Assumptions!$B$65*Assumptions!$B$66/1000000</f>
        <v>11.2895323069983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281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projections'!E33*1000000</f>
        <v>15511585.9830352</v>
      </c>
      <c r="C4" s="41" t="n">
        <f aca="false">'Fleet projections'!C201*1000000*'EV adoption'!B19</f>
        <v>17043.8570608798</v>
      </c>
      <c r="D4" s="41" t="n">
        <f aca="false">'Fleet projections'!D201*1000000*'EV adoption'!C19</f>
        <v>18881.6477282448</v>
      </c>
      <c r="E4" s="41" t="n">
        <f aca="false">'Fleet projections'!E201*1000000*'EV adoption'!D19</f>
        <v>5669.58982158084</v>
      </c>
      <c r="F4" s="41" t="n">
        <f aca="false">'Fleet projections'!F201*1000000*'EV adoption'!E19</f>
        <v>2992.90144518656</v>
      </c>
      <c r="G4" s="41" t="n">
        <f aca="false">'Fleet projections'!G201*1000000*'EV adoption'!F19</f>
        <v>66.4789800356462</v>
      </c>
      <c r="H4" s="41" t="n">
        <f aca="false">'Fleet projections'!H201*1000000*'EV adoption'!G19</f>
        <v>49.1182820360615</v>
      </c>
      <c r="I4" s="41" t="n">
        <f aca="false">SUM(C4:H4)</f>
        <v>44703.5933179637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0.297470857403918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0.205625986474868</v>
      </c>
      <c r="L4" s="41" t="n">
        <f aca="false">((D4*Assumptions!$D$7+E4*Assumptions!$D$8)*Assumptions!$B$51+C4*Assumptions!$D$6*Assumptions!$B$56)/Assumptions!$B$52</f>
        <v>14999.4037568804</v>
      </c>
      <c r="M4" s="41" t="n">
        <f aca="false">(D4*Assumptions!$D$7+E4*Assumptions!$D$8)*(1-Assumptions!$B$51)/Assumptions!$B$26</f>
        <v>2313.38400944304</v>
      </c>
      <c r="N4" s="41" t="n">
        <f aca="false">(D4*(1-Assumptions!$D$7)+E4*(1-Assumptions!$D$8))/Assumptions!$B$27</f>
        <v>1274.80845933779</v>
      </c>
      <c r="O4" s="41" t="n">
        <f aca="false">(D4+E4)/Assumptions!$B$28</f>
        <v>409.187292497094</v>
      </c>
      <c r="P4" s="41" t="n">
        <f aca="false">(F4+G4+H4)/Assumptions!$B$29</f>
        <v>1243.39948290331</v>
      </c>
      <c r="Q4" s="41" t="n">
        <f aca="false">C4*(1-Assumptions!$D$6)/Assumptions!$B$30</f>
        <v>34.0877141217596</v>
      </c>
      <c r="R4" s="42" t="n">
        <f aca="false">(L4*Assumptions!$B$53+M4*Assumptions!$B$35+N4*Assumptions!$B$36+O4*Assumptions!$B$37+P4*Assumptions!$B$38+Q4*Assumptions!$B$39)/1000000000</f>
        <v>0.153606360368636</v>
      </c>
      <c r="S4" s="42" t="n">
        <f aca="false">K4*1000000*Assumptions!$B$43/1000000000</f>
        <v>0.0925316939136904</v>
      </c>
      <c r="T4" s="42" t="n">
        <f aca="false">R4+S4</f>
        <v>0.246138054282326</v>
      </c>
      <c r="U4" s="42" t="n">
        <f aca="false">J4*Assumptions!$B$59*1000/8760/'Load profile'!J75</f>
        <v>0.0730267017938939</v>
      </c>
      <c r="V4" s="42" t="n">
        <f aca="false">(D4+E4)*Assumptions!$B$64*Assumptions!$B$65*Assumptions!$B$66/1000000</f>
        <v>0.00515575988546338</v>
      </c>
    </row>
    <row r="5" customFormat="false" ht="15" hidden="false" customHeight="true" outlineLevel="0" collapsed="false">
      <c r="A5" s="5" t="n">
        <v>2026</v>
      </c>
      <c r="B5" s="41" t="n">
        <f aca="false">'Fleet projections'!E34*1000000</f>
        <v>16118622.0915398</v>
      </c>
      <c r="C5" s="41" t="n">
        <f aca="false">'Fleet projections'!C202*1000000*'EV adoption'!B20</f>
        <v>23389.5080425711</v>
      </c>
      <c r="D5" s="41" t="n">
        <f aca="false">'Fleet projections'!D202*1000000*'EV adoption'!C20</f>
        <v>25275.1665478755</v>
      </c>
      <c r="E5" s="41" t="n">
        <f aca="false">'Fleet projections'!E202*1000000*'EV adoption'!D20</f>
        <v>7362.31746648804</v>
      </c>
      <c r="F5" s="41" t="n">
        <f aca="false">'Fleet projections'!F202*1000000*'EV adoption'!E20</f>
        <v>3799.42527836614</v>
      </c>
      <c r="G5" s="41" t="n">
        <f aca="false">'Fleet projections'!G202*1000000*'EV adoption'!F20</f>
        <v>87.0801966476016</v>
      </c>
      <c r="H5" s="41" t="n">
        <f aca="false">'Fleet projections'!H202*1000000*'EV adoption'!G20</f>
        <v>63.5367368192057</v>
      </c>
      <c r="I5" s="41" t="n">
        <f aca="false">SUM(C5:H5)</f>
        <v>59977.0342687676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0.387350458273629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0.263872204488564</v>
      </c>
      <c r="L5" s="41" t="n">
        <f aca="false">((D5*Assumptions!$D$7+E5*Assumptions!$D$8)*Assumptions!$B$51+C5*Assumptions!$D$6*Assumptions!$B$56)/Assumptions!$B$52</f>
        <v>20317.8873226532</v>
      </c>
      <c r="M5" s="41" t="n">
        <f aca="false">(D5*Assumptions!$D$7+E5*Assumptions!$D$8)*(1-Assumptions!$B$51)/Assumptions!$B$26</f>
        <v>3079.69046477415</v>
      </c>
      <c r="N5" s="41" t="n">
        <f aca="false">(D5*(1-Assumptions!$D$7)+E5*(1-Assumptions!$D$8))/Assumptions!$B$27</f>
        <v>1693.22684627224</v>
      </c>
      <c r="O5" s="41" t="n">
        <f aca="false">(D5+E5)/Assumptions!$B$28</f>
        <v>543.958066906059</v>
      </c>
      <c r="P5" s="41" t="n">
        <f aca="false">(F5+G5+H5)/Assumptions!$B$29</f>
        <v>1580.01688473318</v>
      </c>
      <c r="Q5" s="41" t="n">
        <f aca="false">C5*(1-Assumptions!$D$6)/Assumptions!$B$30</f>
        <v>46.7790160851423</v>
      </c>
      <c r="R5" s="42" t="n">
        <f aca="false">(L5*Assumptions!$B$53+M5*Assumptions!$B$35+N5*Assumptions!$B$36+O5*Assumptions!$B$37+P5*Assumptions!$B$38+Q5*Assumptions!$B$39)/1000000000</f>
        <v>0.198587645328142</v>
      </c>
      <c r="S5" s="42" t="n">
        <f aca="false">K5*1000000*Assumptions!$B$43/1000000000</f>
        <v>0.118742492019854</v>
      </c>
      <c r="T5" s="42" t="n">
        <f aca="false">R5+S5</f>
        <v>0.317330137347996</v>
      </c>
      <c r="U5" s="42" t="n">
        <f aca="false">J5*Assumptions!$B$59*1000/8760/'Load profile'!K75</f>
        <v>0.0940446110035725</v>
      </c>
      <c r="V5" s="42" t="n">
        <f aca="false">(D5+E5)*Assumptions!$B$64*Assumptions!$B$65*Assumptions!$B$66/1000000</f>
        <v>0.00685387164301634</v>
      </c>
    </row>
    <row r="6" customFormat="false" ht="15" hidden="false" customHeight="true" outlineLevel="0" collapsed="false">
      <c r="A6" s="5" t="n">
        <v>2027</v>
      </c>
      <c r="B6" s="41" t="n">
        <f aca="false">'Fleet projections'!E35*1000000</f>
        <v>16746105.3396325</v>
      </c>
      <c r="C6" s="41" t="n">
        <f aca="false">'Fleet projections'!C203*1000000*'EV adoption'!B21</f>
        <v>32082.2326775137</v>
      </c>
      <c r="D6" s="41" t="n">
        <f aca="false">'Fleet projections'!D203*1000000*'EV adoption'!C21</f>
        <v>33819.5456160226</v>
      </c>
      <c r="E6" s="41" t="n">
        <f aca="false">'Fleet projections'!E203*1000000*'EV adoption'!D21</f>
        <v>9555.84725355141</v>
      </c>
      <c r="F6" s="41" t="n">
        <f aca="false">'Fleet projections'!F203*1000000*'EV adoption'!E21</f>
        <v>4821.50249949845</v>
      </c>
      <c r="G6" s="41" t="n">
        <f aca="false">'Fleet projections'!G203*1000000*'EV adoption'!F21</f>
        <v>114.000133331166</v>
      </c>
      <c r="H6" s="41" t="n">
        <f aca="false">'Fleet projections'!H203*1000000*'EV adoption'!G21</f>
        <v>82.1513047728386</v>
      </c>
      <c r="I6" s="41" t="n">
        <f aca="false">SUM(C6:H6)</f>
        <v>80475.2794846902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0.50453193261141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0.338656502850645</v>
      </c>
      <c r="L6" s="41" t="n">
        <f aca="false">((D6*Assumptions!$D$7+E6*Assumptions!$D$8)*Assumptions!$B$51+C6*Assumptions!$D$6*Assumptions!$B$56)/Assumptions!$B$52</f>
        <v>27517.317034489</v>
      </c>
      <c r="M6" s="41" t="n">
        <f aca="false">(D6*Assumptions!$D$7+E6*Assumptions!$D$8)*(1-Assumptions!$B$51)/Assumptions!$B$26</f>
        <v>4098.64310561862</v>
      </c>
      <c r="N6" s="41" t="n">
        <f aca="false">(D6*(1-Assumptions!$D$7)+E6*(1-Assumptions!$D$8))/Assumptions!$B$27</f>
        <v>2248.40170392496</v>
      </c>
      <c r="O6" s="41" t="n">
        <f aca="false">(D6+E6)/Assumptions!$B$28</f>
        <v>722.923214492901</v>
      </c>
      <c r="P6" s="41" t="n">
        <f aca="false">(F6+G6+H6)/Assumptions!$B$29</f>
        <v>2007.06157504098</v>
      </c>
      <c r="Q6" s="41" t="n">
        <f aca="false">C6*(1-Assumptions!$D$6)/Assumptions!$B$30</f>
        <v>64.1644653550275</v>
      </c>
      <c r="R6" s="42" t="n">
        <f aca="false">(L6*Assumptions!$B$53+M6*Assumptions!$B$35+N6*Assumptions!$B$36+O6*Assumptions!$B$37+P6*Assumptions!$B$38+Q6*Assumptions!$B$39)/1000000000</f>
        <v>0.256836210986766</v>
      </c>
      <c r="S6" s="42" t="n">
        <f aca="false">K6*1000000*Assumptions!$B$43/1000000000</f>
        <v>0.15239542628279</v>
      </c>
      <c r="T6" s="42" t="n">
        <f aca="false">R6+S6</f>
        <v>0.409231637269556</v>
      </c>
      <c r="U6" s="42" t="n">
        <f aca="false">J6*Assumptions!$B$59*1000/8760/'Load profile'!L75</f>
        <v>0.121131468045326</v>
      </c>
      <c r="V6" s="42" t="n">
        <f aca="false">(D6+E6)*Assumptions!$B$64*Assumptions!$B$65*Assumptions!$B$66/1000000</f>
        <v>0.00910883250261055</v>
      </c>
    </row>
    <row r="7" customFormat="false" ht="15" hidden="false" customHeight="true" outlineLevel="0" collapsed="false">
      <c r="A7" s="5" t="n">
        <v>2028</v>
      </c>
      <c r="B7" s="41" t="n">
        <f aca="false">'Fleet projections'!E36*1000000</f>
        <v>17394578.1696059</v>
      </c>
      <c r="C7" s="41" t="n">
        <f aca="false">'Fleet projections'!C204*1000000*'EV adoption'!B22</f>
        <v>43980.3694203826</v>
      </c>
      <c r="D7" s="41" t="n">
        <f aca="false">'Fleet projections'!D204*1000000*'EV adoption'!C22</f>
        <v>45230.7705121866</v>
      </c>
      <c r="E7" s="41" t="n">
        <f aca="false">'Fleet projections'!E204*1000000*'EV adoption'!D22</f>
        <v>12396.1063163714</v>
      </c>
      <c r="F7" s="41" t="n">
        <f aca="false">'Fleet projections'!F204*1000000*'EV adoption'!E22</f>
        <v>6116.02563026078</v>
      </c>
      <c r="G7" s="41" t="n">
        <f aca="false">'Fleet projections'!G204*1000000*'EV adoption'!F22</f>
        <v>149.142052724934</v>
      </c>
      <c r="H7" s="41" t="n">
        <f aca="false">'Fleet projections'!H204*1000000*'EV adoption'!G22</f>
        <v>106.166129352374</v>
      </c>
      <c r="I7" s="41" t="n">
        <f aca="false">SUM(C7:H7)</f>
        <v>107978.580061279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0.65731860087766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0.434673725099437</v>
      </c>
      <c r="L7" s="41" t="n">
        <f aca="false">((D7*Assumptions!$D$7+E7*Assumptions!$D$8)*Assumptions!$B$51+C7*Assumptions!$D$6*Assumptions!$B$56)/Assumptions!$B$52</f>
        <v>37257.9827800416</v>
      </c>
      <c r="M7" s="41" t="n">
        <f aca="false">(D7*Assumptions!$D$7+E7*Assumptions!$D$8)*(1-Assumptions!$B$51)/Assumptions!$B$26</f>
        <v>5452.78502494652</v>
      </c>
      <c r="N7" s="41" t="n">
        <f aca="false">(D7*(1-Assumptions!$D$7)+E7*(1-Assumptions!$D$8))/Assumptions!$B$27</f>
        <v>2984.64472739766</v>
      </c>
      <c r="O7" s="41" t="n">
        <f aca="false">(D7+E7)/Assumptions!$B$28</f>
        <v>960.447947142634</v>
      </c>
      <c r="P7" s="41" t="n">
        <f aca="false">(F7+G7+H7)/Assumptions!$B$29</f>
        <v>2548.53352493524</v>
      </c>
      <c r="Q7" s="41" t="n">
        <f aca="false">C7*(1-Assumptions!$D$6)/Assumptions!$B$30</f>
        <v>87.9607388407653</v>
      </c>
      <c r="R7" s="42" t="n">
        <f aca="false">(L7*Assumptions!$B$53+M7*Assumptions!$B$35+N7*Assumptions!$B$36+O7*Assumptions!$B$37+P7*Assumptions!$B$38+Q7*Assumptions!$B$39)/1000000000</f>
        <v>0.332282565400723</v>
      </c>
      <c r="S7" s="42" t="n">
        <f aca="false">K7*1000000*Assumptions!$B$43/1000000000</f>
        <v>0.195603176294747</v>
      </c>
      <c r="T7" s="42" t="n">
        <f aca="false">R7+S7</f>
        <v>0.52788574169547</v>
      </c>
      <c r="U7" s="42" t="n">
        <f aca="false">J7*Assumptions!$B$59*1000/8760/'Load profile'!M75</f>
        <v>0.156040068006489</v>
      </c>
      <c r="V7" s="42" t="n">
        <f aca="false">(D7+E7)*Assumptions!$B$64*Assumptions!$B$65*Assumptions!$B$66/1000000</f>
        <v>0.0121016441339972</v>
      </c>
    </row>
    <row r="8" customFormat="false" ht="15" hidden="false" customHeight="true" outlineLevel="0" collapsed="false">
      <c r="A8" s="5" t="n">
        <v>2029</v>
      </c>
      <c r="B8" s="41" t="n">
        <f aca="false">'Fleet projections'!E37*1000000</f>
        <v>18064591.4398228</v>
      </c>
      <c r="C8" s="41" t="n">
        <f aca="false">'Fleet projections'!C205*1000000*'EV adoption'!B23</f>
        <v>60249.3048034959</v>
      </c>
      <c r="D8" s="41" t="n">
        <f aca="false">'Fleet projections'!D205*1000000*'EV adoption'!C23</f>
        <v>60458.5697486431</v>
      </c>
      <c r="E8" s="41" t="n">
        <f aca="false">'Fleet projections'!E205*1000000*'EV adoption'!D23</f>
        <v>16070.3425897405</v>
      </c>
      <c r="F8" s="41" t="n">
        <f aca="false">'Fleet projections'!F205*1000000*'EV adoption'!E23</f>
        <v>7754.58261468444</v>
      </c>
      <c r="G8" s="41" t="n">
        <f aca="false">'Fleet projections'!G205*1000000*'EV adoption'!F23</f>
        <v>194.962448144055</v>
      </c>
      <c r="H8" s="41" t="n">
        <f aca="false">'Fleet projections'!H205*1000000*'EV adoption'!G23</f>
        <v>137.122090246532</v>
      </c>
      <c r="I8" s="41" t="n">
        <f aca="false">SUM(C8:H8)</f>
        <v>144864.884294955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0.856518242254529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0.557941004798145</v>
      </c>
      <c r="L8" s="41" t="n">
        <f aca="false">((D8*Assumptions!$D$7+E8*Assumptions!$D$8)*Assumptions!$B$51+C8*Assumptions!$D$6*Assumptions!$B$56)/Assumptions!$B$52</f>
        <v>50427.8238752135</v>
      </c>
      <c r="M8" s="41" t="n">
        <f aca="false">(D8*Assumptions!$D$7+E8*Assumptions!$D$8)*(1-Assumptions!$B$51)/Assumptions!$B$26</f>
        <v>7251.13266909485</v>
      </c>
      <c r="N8" s="41" t="n">
        <f aca="false">(D8*(1-Assumptions!$D$7)+E8*(1-Assumptions!$D$8))/Assumptions!$B$27</f>
        <v>3960.36513850035</v>
      </c>
      <c r="O8" s="41" t="n">
        <f aca="false">(D8+E8)/Assumptions!$B$28</f>
        <v>1275.48187230639</v>
      </c>
      <c r="P8" s="41" t="n">
        <f aca="false">(F8+G8+H8)/Assumptions!$B$29</f>
        <v>3234.66686123001</v>
      </c>
      <c r="Q8" s="41" t="n">
        <f aca="false">C8*(1-Assumptions!$D$6)/Assumptions!$B$30</f>
        <v>120.498609606992</v>
      </c>
      <c r="R8" s="42" t="n">
        <f aca="false">(L8*Assumptions!$B$53+M8*Assumptions!$B$35+N8*Assumptions!$B$36+O8*Assumptions!$B$37+P8*Assumptions!$B$38+Q8*Assumptions!$B$39)/1000000000</f>
        <v>0.430016971584287</v>
      </c>
      <c r="S8" s="42" t="n">
        <f aca="false">K8*1000000*Assumptions!$B$43/1000000000</f>
        <v>0.251073452159165</v>
      </c>
      <c r="T8" s="42" t="n">
        <f aca="false">R8+S8</f>
        <v>0.681090423743452</v>
      </c>
      <c r="U8" s="42" t="n">
        <f aca="false">J8*Assumptions!$B$59*1000/8760/'Load profile'!N75</f>
        <v>0.201025405054583</v>
      </c>
      <c r="V8" s="42" t="n">
        <f aca="false">(D8+E8)*Assumptions!$B$64*Assumptions!$B$65*Assumptions!$B$66/1000000</f>
        <v>0.0160710715910606</v>
      </c>
    </row>
    <row r="9" customFormat="false" ht="15" hidden="false" customHeight="true" outlineLevel="0" collapsed="false">
      <c r="A9" s="5" t="n">
        <v>2030</v>
      </c>
      <c r="B9" s="41" t="n">
        <f aca="false">'Fleet projections'!E38*1000000</f>
        <v>18756704.1871019</v>
      </c>
      <c r="C9" s="41" t="n">
        <f aca="false">'Fleet projections'!C206*1000000*'EV adoption'!B24</f>
        <v>82466.1984121902</v>
      </c>
      <c r="D9" s="41" t="n">
        <f aca="false">'Fleet projections'!D206*1000000*'EV adoption'!C24</f>
        <v>80759.7204381667</v>
      </c>
      <c r="E9" s="41" t="n">
        <f aca="false">'Fleet projections'!E206*1000000*'EV adoption'!D24</f>
        <v>20818.1418703158</v>
      </c>
      <c r="F9" s="41" t="n">
        <f aca="false">'Fleet projections'!F206*1000000*'EV adoption'!E24</f>
        <v>9827.09705171819</v>
      </c>
      <c r="G9" s="41" t="n">
        <f aca="false">'Fleet projections'!G206*1000000*'EV adoption'!F24</f>
        <v>254.61975264792</v>
      </c>
      <c r="H9" s="41" t="n">
        <f aca="false">'Fleet projections'!H206*1000000*'EV adoption'!G24</f>
        <v>176.986097578078</v>
      </c>
      <c r="I9" s="41" t="n">
        <f aca="false">SUM(C9:H9)</f>
        <v>194302.763622617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1.11617589530293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0.71615978874576</v>
      </c>
      <c r="L9" s="41" t="n">
        <f aca="false">((D9*Assumptions!$D$7+E9*Assumptions!$D$8)*Assumptions!$B$51+C9*Assumptions!$D$6*Assumptions!$B$56)/Assumptions!$B$52</f>
        <v>68217.6307215481</v>
      </c>
      <c r="M9" s="41" t="n">
        <f aca="false">(D9*Assumptions!$D$7+E9*Assumptions!$D$8)*(1-Assumptions!$B$51)/Assumptions!$B$26</f>
        <v>9637.33268409035</v>
      </c>
      <c r="N9" s="41" t="n">
        <f aca="false">(D9*(1-Assumptions!$D$7)+E9*(1-Assumptions!$D$8))/Assumptions!$B$27</f>
        <v>5252.37763101009</v>
      </c>
      <c r="O9" s="41" t="n">
        <f aca="false">(D9+E9)/Assumptions!$B$28</f>
        <v>1692.96437180804</v>
      </c>
      <c r="P9" s="41" t="n">
        <f aca="false">(F9+G9+H9)/Assumptions!$B$29</f>
        <v>4103.48116077768</v>
      </c>
      <c r="Q9" s="41" t="n">
        <f aca="false">C9*(1-Assumptions!$D$6)/Assumptions!$B$30</f>
        <v>164.93239682438</v>
      </c>
      <c r="R9" s="42" t="n">
        <f aca="false">(L9*Assumptions!$B$53+M9*Assumptions!$B$35+N9*Assumptions!$B$36+O9*Assumptions!$B$37+P9*Assumptions!$B$38+Q9*Assumptions!$B$39)/1000000000</f>
        <v>0.556622880145079</v>
      </c>
      <c r="S9" s="42" t="n">
        <f aca="false">K9*1000000*Assumptions!$B$43/1000000000</f>
        <v>0.322271904935592</v>
      </c>
      <c r="T9" s="42" t="n">
        <f aca="false">R9+S9</f>
        <v>0.87889478508067</v>
      </c>
      <c r="U9" s="42" t="n">
        <f aca="false">J9*Assumptions!$B$59*1000/8760/'Load profile'!O75</f>
        <v>0.258984515675273</v>
      </c>
      <c r="V9" s="42" t="n">
        <f aca="false">(D9+E9)*Assumptions!$B$64*Assumptions!$B$65*Assumptions!$B$66/1000000</f>
        <v>0.0213313510847813</v>
      </c>
    </row>
    <row r="10" customFormat="false" ht="15" hidden="false" customHeight="true" outlineLevel="0" collapsed="false">
      <c r="A10" s="5" t="n">
        <v>2031</v>
      </c>
      <c r="B10" s="41" t="n">
        <f aca="false">'Fleet projections'!E39*1000000</f>
        <v>19471483.6246609</v>
      </c>
      <c r="C10" s="41" t="n">
        <f aca="false">'Fleet projections'!C207*1000000*'EV adoption'!B25</f>
        <v>112756.484147758</v>
      </c>
      <c r="D10" s="41" t="n">
        <f aca="false">'Fleet projections'!D207*1000000*'EV adoption'!C25</f>
        <v>107792.297546353</v>
      </c>
      <c r="E10" s="41" t="n">
        <f aca="false">'Fleet projections'!E207*1000000*'EV adoption'!D25</f>
        <v>26944.9800848885</v>
      </c>
      <c r="F10" s="41" t="n">
        <f aca="false">'Fleet projections'!F207*1000000*'EV adoption'!E25</f>
        <v>12446.2907764853</v>
      </c>
      <c r="G10" s="41" t="n">
        <f aca="false">'Fleet projections'!G207*1000000*'EV adoption'!F25</f>
        <v>332.155531258887</v>
      </c>
      <c r="H10" s="41" t="n">
        <f aca="false">'Fleet projections'!H207*1000000*'EV adoption'!G25</f>
        <v>228.261265866971</v>
      </c>
      <c r="I10" s="41" t="n">
        <f aca="false">SUM(C10:H10)</f>
        <v>260500.46935261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1.45450317598745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0.919168936092786</v>
      </c>
      <c r="L10" s="41" t="n">
        <f aca="false">((D10*Assumptions!$D$7+E10*Assumptions!$D$8)*Assumptions!$B$51+C10*Assumptions!$D$6*Assumptions!$B$56)/Assumptions!$B$52</f>
        <v>92218.5312046842</v>
      </c>
      <c r="M10" s="41" t="n">
        <f aca="false">(D10*Assumptions!$D$7+E10*Assumptions!$D$8)*(1-Assumptions!$B$51)/Assumptions!$B$26</f>
        <v>12800.1032610019</v>
      </c>
      <c r="N10" s="41" t="n">
        <f aca="false">(D10*(1-Assumptions!$D$7)+E10*(1-Assumptions!$D$8))/Assumptions!$B$27</f>
        <v>6961.40538226945</v>
      </c>
      <c r="O10" s="41" t="n">
        <f aca="false">(D10+E10)/Assumptions!$B$28</f>
        <v>2245.62129385402</v>
      </c>
      <c r="P10" s="41" t="n">
        <f aca="false">(F10+G10+H10)/Assumptions!$B$29</f>
        <v>5202.68302944445</v>
      </c>
      <c r="Q10" s="41" t="n">
        <f aca="false">C10*(1-Assumptions!$D$6)/Assumptions!$B$30</f>
        <v>225.512968295516</v>
      </c>
      <c r="R10" s="42" t="n">
        <f aca="false">(L10*Assumptions!$B$53+M10*Assumptions!$B$35+N10*Assumptions!$B$36+O10*Assumptions!$B$37+P10*Assumptions!$B$38+Q10*Assumptions!$B$39)/1000000000</f>
        <v>0.720598358303101</v>
      </c>
      <c r="S10" s="42" t="n">
        <f aca="false">K10*1000000*Assumptions!$B$43/1000000000</f>
        <v>0.413626021241753</v>
      </c>
      <c r="T10" s="42" t="n">
        <f aca="false">R10+S10</f>
        <v>1.13422437954485</v>
      </c>
      <c r="U10" s="42" t="n">
        <f aca="false">J10*Assumptions!$B$59*1000/8760/'Load profile'!P75</f>
        <v>0.33363216624392</v>
      </c>
      <c r="V10" s="42" t="n">
        <f aca="false">(D10+E10)*Assumptions!$B$64*Assumptions!$B$65*Assumptions!$B$66/1000000</f>
        <v>0.0282948283025606</v>
      </c>
    </row>
    <row r="11" customFormat="false" ht="15" hidden="false" customHeight="true" outlineLevel="0" collapsed="false">
      <c r="A11" s="5" t="n">
        <v>2032</v>
      </c>
      <c r="B11" s="41" t="n">
        <f aca="false">'Fleet projections'!E40*1000000</f>
        <v>20209504.5824005</v>
      </c>
      <c r="C11" s="41" t="n">
        <f aca="false">'Fleet projections'!C208*1000000*'EV adoption'!B26</f>
        <v>153968.668036226</v>
      </c>
      <c r="D11" s="41" t="n">
        <f aca="false">'Fleet projections'!D208*1000000*'EV adoption'!C26</f>
        <v>143735.408567954</v>
      </c>
      <c r="E11" s="41" t="n">
        <f aca="false">'Fleet projections'!E208*1000000*'EV adoption'!D26</f>
        <v>34838.6483275131</v>
      </c>
      <c r="F11" s="41" t="n">
        <f aca="false">'Fleet projections'!F208*1000000*'EV adoption'!E26</f>
        <v>15753.1119051262</v>
      </c>
      <c r="G11" s="41" t="n">
        <f aca="false">'Fleet projections'!G208*1000000*'EV adoption'!F26</f>
        <v>432.710437249078</v>
      </c>
      <c r="H11" s="41" t="n">
        <f aca="false">'Fleet projections'!H208*1000000*'EV adoption'!G26</f>
        <v>294.121177859738</v>
      </c>
      <c r="I11" s="41" t="n">
        <f aca="false">SUM(C11:H11)</f>
        <v>349022.668451928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1.89504365282906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1.17950598225126</v>
      </c>
      <c r="L11" s="41" t="n">
        <f aca="false">((D11*Assumptions!$D$7+E11*Assumptions!$D$8)*Assumptions!$B$51+C11*Assumptions!$D$6*Assumptions!$B$56)/Assumptions!$B$52</f>
        <v>124546.364565918</v>
      </c>
      <c r="M11" s="41" t="n">
        <f aca="false">(D11*Assumptions!$D$7+E11*Assumptions!$D$8)*(1-Assumptions!$B$51)/Assumptions!$B$26</f>
        <v>16986.4394813588</v>
      </c>
      <c r="N11" s="41" t="n">
        <f aca="false">(D11*(1-Assumptions!$D$7)+E11*(1-Assumptions!$D$8))/Assumptions!$B$27</f>
        <v>9219.02491416928</v>
      </c>
      <c r="O11" s="41" t="n">
        <f aca="false">(D11+E11)/Assumptions!$B$28</f>
        <v>2976.23428159111</v>
      </c>
      <c r="P11" s="41" t="n">
        <f aca="false">(F11+G11+H11)/Assumptions!$B$29</f>
        <v>6591.97740809399</v>
      </c>
      <c r="Q11" s="41" t="n">
        <f aca="false">C11*(1-Assumptions!$D$6)/Assumptions!$B$30</f>
        <v>307.937336072453</v>
      </c>
      <c r="R11" s="42" t="n">
        <f aca="false">(L11*Assumptions!$B$53+M11*Assumptions!$B$35+N11*Assumptions!$B$36+O11*Assumptions!$B$37+P11*Assumptions!$B$38+Q11*Assumptions!$B$39)/1000000000</f>
        <v>0.932882601964012</v>
      </c>
      <c r="S11" s="42" t="n">
        <f aca="false">K11*1000000*Assumptions!$B$43/1000000000</f>
        <v>0.530777692013067</v>
      </c>
      <c r="T11" s="42" t="n">
        <f aca="false">R11+S11</f>
        <v>1.46366029397708</v>
      </c>
      <c r="U11" s="42" t="n">
        <f aca="false">J11*Assumptions!$B$59*1000/8760/'Load profile'!Q75</f>
        <v>0.429719358158923</v>
      </c>
      <c r="V11" s="42" t="n">
        <f aca="false">(D11+E11)*Assumptions!$B$64*Assumptions!$B$65*Assumptions!$B$66/1000000</f>
        <v>0.037500551948048</v>
      </c>
    </row>
    <row r="12" customFormat="false" ht="15" hidden="false" customHeight="true" outlineLevel="0" collapsed="false">
      <c r="A12" s="5" t="n">
        <v>2033</v>
      </c>
      <c r="B12" s="41" t="n">
        <f aca="false">'Fleet projections'!E41*1000000</f>
        <v>20971349.7337256</v>
      </c>
      <c r="C12" s="41" t="n">
        <f aca="false">'Fleet projections'!C209*1000000*'EV adoption'!B27</f>
        <v>209892.666117557</v>
      </c>
      <c r="D12" s="41" t="n">
        <f aca="false">'Fleet projections'!D209*1000000*'EV adoption'!C27</f>
        <v>191438.886320536</v>
      </c>
      <c r="E12" s="41" t="n">
        <f aca="false">'Fleet projections'!E209*1000000*'EV adoption'!D27</f>
        <v>44988.7727308547</v>
      </c>
      <c r="F12" s="41" t="n">
        <f aca="false">'Fleet projections'!F209*1000000*'EV adoption'!E27</f>
        <v>19923.2738925353</v>
      </c>
      <c r="G12" s="41" t="n">
        <f aca="false">'Fleet projections'!G209*1000000*'EV adoption'!F27</f>
        <v>562.773878282102</v>
      </c>
      <c r="H12" s="41" t="n">
        <f aca="false">'Fleet projections'!H209*1000000*'EV adoption'!G27</f>
        <v>378.570897802802</v>
      </c>
      <c r="I12" s="41" t="n">
        <f aca="false">SUM(C12:H12)</f>
        <v>467184.943837567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2.46811218356488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1.51309273271438</v>
      </c>
      <c r="L12" s="41" t="n">
        <f aca="false">((D12*Assumptions!$D$7+E12*Assumptions!$D$8)*Assumptions!$B$51+C12*Assumptions!$D$6*Assumptions!$B$56)/Assumptions!$B$52</f>
        <v>167996.863502008</v>
      </c>
      <c r="M12" s="41" t="n">
        <f aca="false">(D12*Assumptions!$D$7+E12*Assumptions!$D$8)*(1-Assumptions!$B$51)/Assumptions!$B$26</f>
        <v>22518.0465868677</v>
      </c>
      <c r="N12" s="41" t="n">
        <f aca="false">(D12*(1-Assumptions!$D$7)+E12*(1-Assumptions!$D$8))/Assumptions!$B$27</f>
        <v>12196.2893919933</v>
      </c>
      <c r="O12" s="41" t="n">
        <f aca="false">(D12+E12)/Assumptions!$B$28</f>
        <v>3940.46098418984</v>
      </c>
      <c r="P12" s="41" t="n">
        <f aca="false">(F12+G12+H12)/Assumptions!$B$29</f>
        <v>8345.84746744807</v>
      </c>
      <c r="Q12" s="41" t="n">
        <f aca="false">C12*(1-Assumptions!$D$6)/Assumptions!$B$30</f>
        <v>419.785332235114</v>
      </c>
      <c r="R12" s="42" t="n">
        <f aca="false">(L12*Assumptions!$B$53+M12*Assumptions!$B$35+N12*Assumptions!$B$36+O12*Assumptions!$B$37+P12*Assumptions!$B$38+Q12*Assumptions!$B$39)/1000000000</f>
        <v>1.20750328938248</v>
      </c>
      <c r="S12" s="42" t="n">
        <f aca="false">K12*1000000*Assumptions!$B$43/1000000000</f>
        <v>0.680891729721471</v>
      </c>
      <c r="T12" s="42" t="n">
        <f aca="false">R12+S12</f>
        <v>1.88839501910395</v>
      </c>
      <c r="U12" s="42" t="n">
        <f aca="false">J12*Assumptions!$B$59*1000/8760/'Load profile'!R75</f>
        <v>0.55330142985613</v>
      </c>
      <c r="V12" s="42" t="n">
        <f aca="false">(D12+E12)*Assumptions!$B$64*Assumptions!$B$65*Assumptions!$B$66/1000000</f>
        <v>0.049649808400792</v>
      </c>
    </row>
    <row r="13" customFormat="false" ht="15" hidden="false" customHeight="true" outlineLevel="0" collapsed="false">
      <c r="A13" s="5" t="n">
        <v>2034</v>
      </c>
      <c r="B13" s="41" t="n">
        <f aca="false">'Fleet projections'!E42*1000000</f>
        <v>21757609.2840895</v>
      </c>
      <c r="C13" s="41" t="n">
        <f aca="false">'Fleet projections'!C210*1000000*'EV adoption'!B28</f>
        <v>285522.820455765</v>
      </c>
      <c r="D13" s="41" t="n">
        <f aca="false">'Fleet projections'!D210*1000000*'EV adoption'!C28</f>
        <v>254606.344932482</v>
      </c>
      <c r="E13" s="41" t="n">
        <f aca="false">'Fleet projections'!E210*1000000*'EV adoption'!D28</f>
        <v>58009.3943037934</v>
      </c>
      <c r="F13" s="41" t="n">
        <f aca="false">'Fleet projections'!F210*1000000*'EV adoption'!E28</f>
        <v>25175.0346512985</v>
      </c>
      <c r="G13" s="41" t="n">
        <f aca="false">'Fleet projections'!G210*1000000*'EV adoption'!F28</f>
        <v>730.46013814485</v>
      </c>
      <c r="H13" s="41" t="n">
        <f aca="false">'Fleet projections'!H210*1000000*'EV adoption'!G28</f>
        <v>486.635919034993</v>
      </c>
      <c r="I13" s="41" t="n">
        <f aca="false">SUM(C13:H13)</f>
        <v>624530.690400519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3.21253526203398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1.94005644480833</v>
      </c>
      <c r="L13" s="41" t="n">
        <f aca="false">((D13*Assumptions!$D$7+E13*Assumptions!$D$8)*Assumptions!$B$51+C13*Assumptions!$D$6*Assumptions!$B$56)/Assumptions!$B$52</f>
        <v>226233.159612774</v>
      </c>
      <c r="M13" s="41" t="n">
        <f aca="false">(D13*Assumptions!$D$7+E13*Assumptions!$D$8)*(1-Assumptions!$B$51)/Assumptions!$B$26</f>
        <v>29811.3390660327</v>
      </c>
      <c r="N13" s="41" t="n">
        <f aca="false">(D13*(1-Assumptions!$D$7)+E13*(1-Assumptions!$D$8))/Assumptions!$B$27</f>
        <v>16114.198581012</v>
      </c>
      <c r="O13" s="41" t="n">
        <f aca="false">(D13+E13)/Assumptions!$B$28</f>
        <v>5210.26232060459</v>
      </c>
      <c r="P13" s="41" t="n">
        <f aca="false">(F13+G13+H13)/Assumptions!$B$29</f>
        <v>10556.8522833913</v>
      </c>
      <c r="Q13" s="41" t="n">
        <f aca="false">C13*(1-Assumptions!$D$6)/Assumptions!$B$30</f>
        <v>571.045640911531</v>
      </c>
      <c r="R13" s="42" t="n">
        <f aca="false">(L13*Assumptions!$B$53+M13*Assumptions!$B$35+N13*Assumptions!$B$36+O13*Assumptions!$B$37+P13*Assumptions!$B$38+Q13*Assumptions!$B$39)/1000000000</f>
        <v>1.56235457875772</v>
      </c>
      <c r="S13" s="42" t="n">
        <f aca="false">K13*1000000*Assumptions!$B$43/1000000000</f>
        <v>0.873025400163749</v>
      </c>
      <c r="T13" s="42" t="n">
        <f aca="false">R13+S13</f>
        <v>2.43537997892147</v>
      </c>
      <c r="U13" s="42" t="n">
        <f aca="false">J13*Assumptions!$B$59*1000/8760/'Load profile'!S75</f>
        <v>0.71206087634928</v>
      </c>
      <c r="V13" s="42" t="n">
        <f aca="false">(D13+E13)*Assumptions!$B$64*Assumptions!$B$65*Assumptions!$B$66/1000000</f>
        <v>0.0656493052396178</v>
      </c>
    </row>
    <row r="14" customFormat="false" ht="15" hidden="false" customHeight="true" outlineLevel="0" collapsed="false">
      <c r="A14" s="5" t="n">
        <v>2035</v>
      </c>
      <c r="B14" s="41" t="n">
        <f aca="false">'Fleet projections'!E43*1000000</f>
        <v>22568880.7733778</v>
      </c>
      <c r="C14" s="41" t="n">
        <f aca="false">'Fleet projections'!C211*1000000*'EV adoption'!B29</f>
        <v>387357.69636624</v>
      </c>
      <c r="D14" s="41" t="n">
        <f aca="false">'Fleet projections'!D211*1000000*'EV adoption'!C29</f>
        <v>338012.180915841</v>
      </c>
      <c r="E14" s="41" t="n">
        <f aca="false">'Fleet projections'!E211*1000000*'EV adoption'!D29</f>
        <v>74664.1120326945</v>
      </c>
      <c r="F14" s="41" t="n">
        <f aca="false">'Fleet projections'!F211*1000000*'EV adoption'!E29</f>
        <v>31778.3032607407</v>
      </c>
      <c r="G14" s="41" t="n">
        <f aca="false">'Fleet projections'!G211*1000000*'EV adoption'!F29</f>
        <v>945.793517723538</v>
      </c>
      <c r="H14" s="41" t="n">
        <f aca="false">'Fleet projections'!H211*1000000*'EV adoption'!G29</f>
        <v>624.577402966943</v>
      </c>
      <c r="I14" s="41" t="n">
        <f aca="false">SUM(C14:H14)</f>
        <v>833382.663496206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4.17769302370575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2.48568653634326</v>
      </c>
      <c r="L14" s="41" t="n">
        <f aca="false">((D14*Assumptions!$D$7+E14*Assumptions!$D$8)*Assumptions!$B$51+C14*Assumptions!$D$6*Assumptions!$B$56)/Assumptions!$B$52</f>
        <v>304001.722366421</v>
      </c>
      <c r="M14" s="41" t="n">
        <f aca="false">(D14*Assumptions!$D$7+E14*Assumptions!$D$8)*(1-Assumptions!$B$51)/Assumptions!$B$26</f>
        <v>39401.0264940362</v>
      </c>
      <c r="N14" s="41" t="n">
        <f aca="false">(D14*(1-Assumptions!$D$7)+E14*(1-Assumptions!$D$8))/Assumptions!$B$27</f>
        <v>21256.0155810326</v>
      </c>
      <c r="O14" s="41" t="n">
        <f aca="false">(D14+E14)/Assumptions!$B$28</f>
        <v>6877.93821580893</v>
      </c>
      <c r="P14" s="41" t="n">
        <f aca="false">(F14+G14+H14)/Assumptions!$B$29</f>
        <v>13339.4696725725</v>
      </c>
      <c r="Q14" s="41" t="n">
        <f aca="false">C14*(1-Assumptions!$D$6)/Assumptions!$B$30</f>
        <v>774.715392732479</v>
      </c>
      <c r="R14" s="42" t="n">
        <f aca="false">(L14*Assumptions!$B$53+M14*Assumptions!$B$35+N14*Assumptions!$B$36+O14*Assumptions!$B$37+P14*Assumptions!$B$38+Q14*Assumptions!$B$39)/1000000000</f>
        <v>2.02010188140454</v>
      </c>
      <c r="S14" s="42" t="n">
        <f aca="false">K14*1000000*Assumptions!$B$43/1000000000</f>
        <v>1.11855894135447</v>
      </c>
      <c r="T14" s="42" t="n">
        <f aca="false">R14+S14</f>
        <v>3.13866082275901</v>
      </c>
      <c r="U14" s="42" t="n">
        <f aca="false">J14*Assumptions!$B$59*1000/8760/'Load profile'!T75</f>
        <v>0.915685953548714</v>
      </c>
      <c r="V14" s="42" t="n">
        <f aca="false">(D14+E14)*Assumptions!$B$64*Assumptions!$B$65*Assumptions!$B$66/1000000</f>
        <v>0.0866620215191925</v>
      </c>
    </row>
    <row r="15" customFormat="false" ht="15" hidden="false" customHeight="true" outlineLevel="0" collapsed="false">
      <c r="A15" s="5" t="n">
        <v>2036</v>
      </c>
      <c r="B15" s="41" t="n">
        <f aca="false">'Fleet projections'!E44*1000000</f>
        <v>23405769.030023</v>
      </c>
      <c r="C15" s="41" t="n">
        <f aca="false">'Fleet projections'!C212*1000000*'EV adoption'!B30</f>
        <v>523711.804229364</v>
      </c>
      <c r="D15" s="41" t="n">
        <f aca="false">'Fleet projections'!D212*1000000*'EV adoption'!C30</f>
        <v>447747.315074696</v>
      </c>
      <c r="E15" s="41" t="n">
        <f aca="false">'Fleet projections'!E212*1000000*'EV adoption'!D30</f>
        <v>95892.5261383139</v>
      </c>
      <c r="F15" s="41" t="n">
        <f aca="false">'Fleet projections'!F212*1000000*'EV adoption'!E30</f>
        <v>40065.0765191986</v>
      </c>
      <c r="G15" s="41" t="n">
        <f aca="false">'Fleet projections'!G212*1000000*'EV adoption'!F30</f>
        <v>1220.96952429742</v>
      </c>
      <c r="H15" s="41" t="n">
        <f aca="false">'Fleet projections'!H212*1000000*'EV adoption'!G30</f>
        <v>800.127142050131</v>
      </c>
      <c r="I15" s="41" t="n">
        <f aca="false">SUM(C15:H15)</f>
        <v>1109437.81862792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5.42581129612206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3.18150486281396</v>
      </c>
      <c r="L15" s="41" t="n">
        <f aca="false">((D15*Assumptions!$D$7+E15*Assumptions!$D$8)*Assumptions!$B$51+C15*Assumptions!$D$6*Assumptions!$B$56)/Assumptions!$B$52</f>
        <v>407362.580824643</v>
      </c>
      <c r="M15" s="41" t="n">
        <f aca="false">(D15*Assumptions!$D$7+E15*Assumptions!$D$8)*(1-Assumptions!$B$51)/Assumptions!$B$26</f>
        <v>51966.6709678432</v>
      </c>
      <c r="N15" s="41" t="n">
        <f aca="false">(D15*(1-Assumptions!$D$7)+E15*(1-Assumptions!$D$8))/Assumptions!$B$27</f>
        <v>27981.0964451365</v>
      </c>
      <c r="O15" s="41" t="n">
        <f aca="false">(D15+E15)/Assumptions!$B$28</f>
        <v>9060.66402021684</v>
      </c>
      <c r="P15" s="41" t="n">
        <f aca="false">(F15+G15+H15)/Assumptions!$B$29</f>
        <v>16834.4692742185</v>
      </c>
      <c r="Q15" s="41" t="n">
        <f aca="false">C15*(1-Assumptions!$D$6)/Assumptions!$B$30</f>
        <v>1047.42360845873</v>
      </c>
      <c r="R15" s="42" t="n">
        <f aca="false">(L15*Assumptions!$B$53+M15*Assumptions!$B$35+N15*Assumptions!$B$36+O15*Assumptions!$B$37+P15*Assumptions!$B$38+Q15*Assumptions!$B$39)/1000000000</f>
        <v>2.60918322544599</v>
      </c>
      <c r="S15" s="42" t="n">
        <f aca="false">K15*1000000*Assumptions!$B$43/1000000000</f>
        <v>1.43167718826628</v>
      </c>
      <c r="T15" s="42" t="n">
        <f aca="false">R15+S15</f>
        <v>4.04086041371228</v>
      </c>
      <c r="U15" s="42" t="n">
        <f aca="false">J15*Assumptions!$B$59*1000/8760/'Load profile'!U75</f>
        <v>1.17629807340429</v>
      </c>
      <c r="V15" s="42" t="n">
        <f aca="false">(D15+E15)*Assumptions!$B$64*Assumptions!$B$65*Assumptions!$B$66/1000000</f>
        <v>0.114164366654732</v>
      </c>
    </row>
    <row r="16" customFormat="false" ht="15" hidden="false" customHeight="true" outlineLevel="0" collapsed="false">
      <c r="A16" s="5" t="n">
        <v>2037</v>
      </c>
      <c r="B16" s="41" t="n">
        <f aca="false">'Fleet projections'!E45*1000000</f>
        <v>24268885.4549214</v>
      </c>
      <c r="C16" s="41" t="n">
        <f aca="false">'Fleet projections'!C213*1000000*'EV adoption'!B31</f>
        <v>704986.129451922</v>
      </c>
      <c r="D16" s="41" t="n">
        <f aca="false">'Fleet projections'!D213*1000000*'EV adoption'!C31</f>
        <v>591478.12856322</v>
      </c>
      <c r="E16" s="41" t="n">
        <f aca="false">'Fleet projections'!E213*1000000*'EV adoption'!D31</f>
        <v>122835.545576498</v>
      </c>
      <c r="F16" s="41" t="n">
        <f aca="false">'Fleet projections'!F213*1000000*'EV adoption'!E31</f>
        <v>50441.0575607423</v>
      </c>
      <c r="G16" s="41" t="n">
        <f aca="false">'Fleet projections'!G213*1000000*'EV adoption'!F31</f>
        <v>1570.53742756462</v>
      </c>
      <c r="H16" s="41" t="n">
        <f aca="false">'Fleet projections'!H213*1000000*'EV adoption'!G31</f>
        <v>1022.7278287609</v>
      </c>
      <c r="I16" s="41" t="n">
        <f aca="false">SUM(C16:H16)</f>
        <v>1472334.12640871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7.03436099811365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4.06639021204811</v>
      </c>
      <c r="L16" s="41" t="n">
        <f aca="false">((D16*Assumptions!$D$7+E16*Assumptions!$D$8)*Assumptions!$B$51+C16*Assumptions!$D$6*Assumptions!$B$56)/Assumptions!$B$52</f>
        <v>543902.405294727</v>
      </c>
      <c r="M16" s="41" t="n">
        <f aca="false">(D16*Assumptions!$D$7+E16*Assumptions!$D$8)*(1-Assumptions!$B$51)/Assumptions!$B$26</f>
        <v>68360.4787745594</v>
      </c>
      <c r="N16" s="41" t="n">
        <f aca="false">(D16*(1-Assumptions!$D$7)+E16*(1-Assumptions!$D$8))/Assumptions!$B$27</f>
        <v>36739.3132534567</v>
      </c>
      <c r="O16" s="41" t="n">
        <f aca="false">(D16+E16)/Assumptions!$B$28</f>
        <v>11905.2279023286</v>
      </c>
      <c r="P16" s="41" t="n">
        <f aca="false">(F16+G16+H16)/Assumptions!$B$29</f>
        <v>21213.7291268271</v>
      </c>
      <c r="Q16" s="41" t="n">
        <f aca="false">C16*(1-Assumptions!$D$6)/Assumptions!$B$30</f>
        <v>1409.97225890384</v>
      </c>
      <c r="R16" s="42" t="n">
        <f aca="false">(L16*Assumptions!$B$53+M16*Assumptions!$B$35+N16*Assumptions!$B$36+O16*Assumptions!$B$37+P16*Assumptions!$B$38+Q16*Assumptions!$B$39)/1000000000</f>
        <v>3.36483222313952</v>
      </c>
      <c r="S16" s="42" t="n">
        <f aca="false">K16*1000000*Assumptions!$B$43/1000000000</f>
        <v>1.82987559542165</v>
      </c>
      <c r="T16" s="42" t="n">
        <f aca="false">R16+S16</f>
        <v>5.19470781856117</v>
      </c>
      <c r="U16" s="42" t="n">
        <f aca="false">J16*Assumptions!$B$59*1000/8760/'Load profile'!V75</f>
        <v>1.50890692607921</v>
      </c>
      <c r="V16" s="42" t="n">
        <f aca="false">(D16+E16)*Assumptions!$B$64*Assumptions!$B$65*Assumptions!$B$66/1000000</f>
        <v>0.150005871569341</v>
      </c>
    </row>
    <row r="17" customFormat="false" ht="15" hidden="false" customHeight="true" outlineLevel="0" collapsed="false">
      <c r="A17" s="5" t="n">
        <v>2038</v>
      </c>
      <c r="B17" s="41" t="n">
        <f aca="false">'Fleet projections'!E46*1000000</f>
        <v>25158848.2539921</v>
      </c>
      <c r="C17" s="41" t="n">
        <f aca="false">'Fleet projections'!C214*1000000*'EV adoption'!B32</f>
        <v>943802.740912126</v>
      </c>
      <c r="D17" s="41" t="n">
        <f aca="false">'Fleet projections'!D214*1000000*'EV adoption'!C32</f>
        <v>778686.428801844</v>
      </c>
      <c r="E17" s="41" t="n">
        <f aca="false">'Fleet projections'!E214*1000000*'EV adoption'!D32</f>
        <v>156855.484026828</v>
      </c>
      <c r="F17" s="41" t="n">
        <f aca="false">'Fleet projections'!F214*1000000*'EV adoption'!E32</f>
        <v>63398.074951809</v>
      </c>
      <c r="G17" s="41" t="n">
        <f aca="false">'Fleet projections'!G214*1000000*'EV adoption'!F32</f>
        <v>2011.42255096404</v>
      </c>
      <c r="H17" s="41" t="n">
        <f aca="false">'Fleet projections'!H214*1000000*'EV adoption'!G32</f>
        <v>1303.75276050347</v>
      </c>
      <c r="I17" s="41" t="n">
        <f aca="false">SUM(C17:H17)</f>
        <v>1946057.90400407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9.09827961422995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5.18764061598366</v>
      </c>
      <c r="L17" s="41" t="n">
        <f aca="false">((D17*Assumptions!$D$7+E17*Assumptions!$D$8)*Assumptions!$B$51+C17*Assumptions!$D$6*Assumptions!$B$56)/Assumptions!$B$52</f>
        <v>722873.222166213</v>
      </c>
      <c r="M17" s="41" t="n">
        <f aca="false">(D17*Assumptions!$D$7+E17*Assumptions!$D$8)*(1-Assumptions!$B$51)/Assumptions!$B$26</f>
        <v>89632.8041821965</v>
      </c>
      <c r="N17" s="41" t="n">
        <f aca="false">(D17*(1-Assumptions!$D$7)+E17*(1-Assumptions!$D$8))/Assumptions!$B$27</f>
        <v>48084.2246749905</v>
      </c>
      <c r="O17" s="41" t="n">
        <f aca="false">(D17+E17)/Assumptions!$B$28</f>
        <v>15592.3652138112</v>
      </c>
      <c r="P17" s="41" t="n">
        <f aca="false">(F17+G17+H17)/Assumptions!$B$29</f>
        <v>26685.3001053106</v>
      </c>
      <c r="Q17" s="41" t="n">
        <f aca="false">C17*(1-Assumptions!$D$6)/Assumptions!$B$30</f>
        <v>1887.60548182425</v>
      </c>
      <c r="R17" s="42" t="n">
        <f aca="false">(L17*Assumptions!$B$53+M17*Assumptions!$B$35+N17*Assumptions!$B$36+O17*Assumptions!$B$37+P17*Assumptions!$B$38+Q17*Assumptions!$B$39)/1000000000</f>
        <v>4.32997960076849</v>
      </c>
      <c r="S17" s="42" t="n">
        <f aca="false">K17*1000000*Assumptions!$B$43/1000000000</f>
        <v>2.33443827719265</v>
      </c>
      <c r="T17" s="42" t="n">
        <f aca="false">R17+S17</f>
        <v>6.66441787796114</v>
      </c>
      <c r="U17" s="42" t="n">
        <f aca="false">J17*Assumptions!$B$59*1000/8760/'Load profile'!W75</f>
        <v>1.93185023960018</v>
      </c>
      <c r="V17" s="42" t="n">
        <f aca="false">(D17+E17)*Assumptions!$B$64*Assumptions!$B$65*Assumptions!$B$66/1000000</f>
        <v>0.196463801694021</v>
      </c>
    </row>
    <row r="18" customFormat="false" ht="15" hidden="false" customHeight="true" outlineLevel="0" collapsed="false">
      <c r="A18" s="5" t="n">
        <v>2039</v>
      </c>
      <c r="B18" s="41" t="n">
        <f aca="false">'Fleet projections'!E47*1000000</f>
        <v>26076282.02348</v>
      </c>
      <c r="C18" s="41" t="n">
        <f aca="false">'Fleet projections'!C215*1000000*'EV adoption'!B33</f>
        <v>1254856.47147807</v>
      </c>
      <c r="D18" s="41" t="n">
        <f aca="false">'Fleet projections'!D215*1000000*'EV adoption'!C33</f>
        <v>1020833.91067643</v>
      </c>
      <c r="E18" s="41" t="n">
        <f aca="false">'Fleet projections'!E215*1000000*'EV adoption'!D33</f>
        <v>199544.743398242</v>
      </c>
      <c r="F18" s="41" t="n">
        <f aca="false">'Fleet projections'!F215*1000000*'EV adoption'!E33</f>
        <v>79526.5615982365</v>
      </c>
      <c r="G18" s="41" t="n">
        <f aca="false">'Fleet projections'!G215*1000000*'EV adoption'!F33</f>
        <v>2562.67808427032</v>
      </c>
      <c r="H18" s="41" t="n">
        <f aca="false">'Fleet projections'!H215*1000000*'EV adoption'!G33</f>
        <v>1656.66334583382</v>
      </c>
      <c r="I18" s="41" t="n">
        <f aca="false">SUM(C18:H18)</f>
        <v>2558981.02858108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11.7315258816038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6.60177780743614</v>
      </c>
      <c r="L18" s="41" t="n">
        <f aca="false">((D18*Assumptions!$D$7+E18*Assumptions!$D$8)*Assumptions!$B$51+C18*Assumptions!$D$6*Assumptions!$B$56)/Assumptions!$B$52</f>
        <v>955166.126842067</v>
      </c>
      <c r="M18" s="41" t="n">
        <f aca="false">(D18*Assumptions!$D$7+E18*Assumptions!$D$8)*(1-Assumptions!$B$51)/Assumptions!$B$26</f>
        <v>117049.246822511</v>
      </c>
      <c r="N18" s="41" t="n">
        <f aca="false">(D18*(1-Assumptions!$D$7)+E18*(1-Assumptions!$D$8))/Assumptions!$B$27</f>
        <v>62681.8055653854</v>
      </c>
      <c r="O18" s="41" t="n">
        <f aca="false">(D18+E18)/Assumptions!$B$28</f>
        <v>20339.6442345778</v>
      </c>
      <c r="P18" s="41" t="n">
        <f aca="false">(F18+G18+H18)/Assumptions!$B$29</f>
        <v>33498.3612113362</v>
      </c>
      <c r="Q18" s="41" t="n">
        <f aca="false">C18*(1-Assumptions!$D$6)/Assumptions!$B$30</f>
        <v>2509.71294295615</v>
      </c>
      <c r="R18" s="42" t="n">
        <f aca="false">(L18*Assumptions!$B$53+M18*Assumptions!$B$35+N18*Assumptions!$B$36+O18*Assumptions!$B$37+P18*Assumptions!$B$38+Q18*Assumptions!$B$39)/1000000000</f>
        <v>5.55579769211181</v>
      </c>
      <c r="S18" s="42" t="n">
        <f aca="false">K18*1000000*Assumptions!$B$43/1000000000</f>
        <v>2.97080001334626</v>
      </c>
      <c r="T18" s="42" t="n">
        <f aca="false">R18+S18</f>
        <v>8.52659770545808</v>
      </c>
      <c r="U18" s="42" t="n">
        <f aca="false">J18*Assumptions!$B$59*1000/8760/'Load profile'!X75</f>
        <v>2.46714332994483</v>
      </c>
      <c r="V18" s="42" t="n">
        <f aca="false">(D18+E18)*Assumptions!$B$64*Assumptions!$B$65*Assumptions!$B$66/1000000</f>
        <v>0.25627951735568</v>
      </c>
    </row>
    <row r="19" customFormat="false" ht="15" hidden="false" customHeight="true" outlineLevel="0" collapsed="false">
      <c r="A19" s="5" t="n">
        <v>2040</v>
      </c>
      <c r="B19" s="41" t="n">
        <f aca="false">'Fleet projections'!E48*1000000</f>
        <v>27021817.6667417</v>
      </c>
      <c r="C19" s="41" t="n">
        <f aca="false">'Fleet projections'!C216*1000000*'EV adoption'!B34</f>
        <v>1654288.29967664</v>
      </c>
      <c r="D19" s="41" t="n">
        <f aca="false">'Fleet projections'!D216*1000000*'EV adoption'!C34</f>
        <v>1331363.23745616</v>
      </c>
      <c r="E19" s="41" t="n">
        <f aca="false">'Fleet projections'!E216*1000000*'EV adoption'!D34</f>
        <v>252714.522317388</v>
      </c>
      <c r="F19" s="41" t="n">
        <f aca="false">'Fleet projections'!F216*1000000*'EV adoption'!E34</f>
        <v>99526.8594510485</v>
      </c>
      <c r="G19" s="41" t="n">
        <f aca="false">'Fleet projections'!G216*1000000*'EV adoption'!F34</f>
        <v>3244.83591405702</v>
      </c>
      <c r="H19" s="41" t="n">
        <f aca="false">'Fleet projections'!H216*1000000*'EV adoption'!G34</f>
        <v>2097.04356551256</v>
      </c>
      <c r="I19" s="41" t="n">
        <f aca="false">SUM(C19:H19)</f>
        <v>3343234.79838081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15.0672277122517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8.37480513720931</v>
      </c>
      <c r="L19" s="41" t="n">
        <f aca="false">((D19*Assumptions!$D$7+E19*Assumptions!$D$8)*Assumptions!$B$51+C19*Assumptions!$D$6*Assumptions!$B$56)/Assumptions!$B$52</f>
        <v>1252995.9060127</v>
      </c>
      <c r="M19" s="41" t="n">
        <f aca="false">(D19*Assumptions!$D$7+E19*Assumptions!$D$8)*(1-Assumptions!$B$51)/Assumptions!$B$26</f>
        <v>152089.912919421</v>
      </c>
      <c r="N19" s="41" t="n">
        <f aca="false">(D19*(1-Assumptions!$D$7)+E19*(1-Assumptions!$D$8))/Assumptions!$B$27</f>
        <v>81309.8423413225</v>
      </c>
      <c r="O19" s="41" t="n">
        <f aca="false">(D19+E19)/Assumptions!$B$28</f>
        <v>26401.2959962259</v>
      </c>
      <c r="P19" s="41" t="n">
        <f aca="false">(F19+G19+H19)/Assumptions!$B$29</f>
        <v>41947.4955722472</v>
      </c>
      <c r="Q19" s="41" t="n">
        <f aca="false">C19*(1-Assumptions!$D$6)/Assumptions!$B$30</f>
        <v>3308.57659935328</v>
      </c>
      <c r="R19" s="42" t="n">
        <f aca="false">(L19*Assumptions!$B$53+M19*Assumptions!$B$35+N19*Assumptions!$B$36+O19*Assumptions!$B$37+P19*Assumptions!$B$38+Q19*Assumptions!$B$39)/1000000000</f>
        <v>7.10154839666603</v>
      </c>
      <c r="S19" s="42" t="n">
        <f aca="false">K19*1000000*Assumptions!$B$43/1000000000</f>
        <v>3.76866231174419</v>
      </c>
      <c r="T19" s="42" t="n">
        <f aca="false">R19+S19</f>
        <v>10.8702107084102</v>
      </c>
      <c r="U19" s="42" t="n">
        <f aca="false">J19*Assumptions!$B$59*1000/8760/'Load profile'!Y75</f>
        <v>3.14062379687405</v>
      </c>
      <c r="V19" s="42" t="n">
        <f aca="false">(D19+E19)*Assumptions!$B$64*Assumptions!$B$65*Assumptions!$B$66/1000000</f>
        <v>0.332656329552446</v>
      </c>
    </row>
    <row r="20" customFormat="false" ht="15" hidden="false" customHeight="true" outlineLevel="0" collapsed="false">
      <c r="A20" s="5" t="n">
        <v>2041</v>
      </c>
      <c r="B20" s="41" t="n">
        <f aca="false">'Fleet projections'!E49*1000000</f>
        <v>27996091.5376155</v>
      </c>
      <c r="C20" s="41" t="n">
        <f aca="false">'Fleet projections'!C217*1000000*'EV adoption'!B35</f>
        <v>2158373.95790505</v>
      </c>
      <c r="D20" s="41" t="n">
        <f aca="false">'Fleet projections'!D217*1000000*'EV adoption'!C35</f>
        <v>1725414.54004375</v>
      </c>
      <c r="E20" s="41" t="n">
        <f aca="false">'Fleet projections'!E217*1000000*'EV adoption'!D35</f>
        <v>318352.906744467</v>
      </c>
      <c r="F20" s="41" t="n">
        <f aca="false">'Fleet projections'!F217*1000000*'EV adoption'!E35</f>
        <v>124217.461190526</v>
      </c>
      <c r="G20" s="41" t="n">
        <f aca="false">'Fleet projections'!G217*1000000*'EV adoption'!F35</f>
        <v>4078.72996352792</v>
      </c>
      <c r="H20" s="41" t="n">
        <f aca="false">'Fleet projections'!H217*1000000*'EV adoption'!G35</f>
        <v>2642.43009056421</v>
      </c>
      <c r="I20" s="41" t="n">
        <f aca="false">SUM(C20:H20)</f>
        <v>4333080.02593789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19.2554341699882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10.5815459971236</v>
      </c>
      <c r="L20" s="41" t="n">
        <f aca="false">((D20*Assumptions!$D$7+E20*Assumptions!$D$8)*Assumptions!$B$51+C20*Assumptions!$D$6*Assumptions!$B$56)/Assumptions!$B$52</f>
        <v>1629157.16058111</v>
      </c>
      <c r="M20" s="41" t="n">
        <f aca="false">(D20*Assumptions!$D$7+E20*Assumptions!$D$8)*(1-Assumptions!$B$51)/Assumptions!$B$26</f>
        <v>196417.92201021</v>
      </c>
      <c r="N20" s="41" t="n">
        <f aca="false">(D20*(1-Assumptions!$D$7)+E20*(1-Assumptions!$D$8))/Assumptions!$B$27</f>
        <v>104841.313228948</v>
      </c>
      <c r="O20" s="41" t="n">
        <f aca="false">(D20+E20)/Assumptions!$B$28</f>
        <v>34062.7907798036</v>
      </c>
      <c r="P20" s="41" t="n">
        <f aca="false">(F20+G20+H20)/Assumptions!$B$29</f>
        <v>52375.4484978472</v>
      </c>
      <c r="Q20" s="41" t="n">
        <f aca="false">C20*(1-Assumptions!$D$6)/Assumptions!$B$30</f>
        <v>4316.74791581011</v>
      </c>
      <c r="R20" s="42" t="n">
        <f aca="false">(L20*Assumptions!$B$53+M20*Assumptions!$B$35+N20*Assumptions!$B$36+O20*Assumptions!$B$37+P20*Assumptions!$B$38+Q20*Assumptions!$B$39)/1000000000</f>
        <v>9.0333139236305</v>
      </c>
      <c r="S20" s="42" t="n">
        <f aca="false">K20*1000000*Assumptions!$B$43/1000000000</f>
        <v>4.76169569870564</v>
      </c>
      <c r="T20" s="42" t="n">
        <f aca="false">R20+S20</f>
        <v>13.7950096223361</v>
      </c>
      <c r="U20" s="42" t="n">
        <f aca="false">J20*Assumptions!$B$59*1000/8760/'Load profile'!Z75</f>
        <v>3.98173525395034</v>
      </c>
      <c r="V20" s="42" t="n">
        <f aca="false">(D20+E20)*Assumptions!$B$64*Assumptions!$B$65*Assumptions!$B$66/1000000</f>
        <v>0.429191163825526</v>
      </c>
    </row>
    <row r="21" customFormat="false" ht="15" hidden="false" customHeight="true" outlineLevel="0" collapsed="false">
      <c r="A21" s="5" t="n">
        <v>2042</v>
      </c>
      <c r="B21" s="41" t="n">
        <f aca="false">'Fleet projections'!E50*1000000</f>
        <v>28999745.6821243</v>
      </c>
      <c r="C21" s="41" t="n">
        <f aca="false">'Fleet projections'!C218*1000000*'EV adoption'!B36</f>
        <v>2781402.11211847</v>
      </c>
      <c r="D21" s="41" t="n">
        <f aca="false">'Fleet projections'!D218*1000000*'EV adoption'!C36</f>
        <v>2219114.34535998</v>
      </c>
      <c r="E21" s="41" t="n">
        <f aca="false">'Fleet projections'!E218*1000000*'EV adoption'!D36</f>
        <v>398541.008189955</v>
      </c>
      <c r="F21" s="41" t="n">
        <f aca="false">'Fleet projections'!F218*1000000*'EV adoption'!E36</f>
        <v>154537.532409689</v>
      </c>
      <c r="G21" s="41" t="n">
        <f aca="false">'Fleet projections'!G218*1000000*'EV adoption'!F36</f>
        <v>5083.71687441284</v>
      </c>
      <c r="H21" s="41" t="n">
        <f aca="false">'Fleet projections'!H218*1000000*'EV adoption'!G36</f>
        <v>3311.84135539842</v>
      </c>
      <c r="I21" s="41" t="n">
        <f aca="false">SUM(C21:H21)</f>
        <v>5561990.5563079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24.4573541039947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13.3036628753362</v>
      </c>
      <c r="L21" s="41" t="n">
        <f aca="false">((D21*Assumptions!$D$7+E21*Assumptions!$D$8)*Assumptions!$B$51+C21*Assumptions!$D$6*Assumptions!$B$56)/Assumptions!$B$52</f>
        <v>2095746.68447992</v>
      </c>
      <c r="M21" s="41" t="n">
        <f aca="false">(D21*Assumptions!$D$7+E21*Assumptions!$D$8)*(1-Assumptions!$B$51)/Assumptions!$B$26</f>
        <v>251802.010150244</v>
      </c>
      <c r="N21" s="41" t="n">
        <f aca="false">(D21*(1-Assumptions!$D$7)+E21*(1-Assumptions!$D$8))/Assumptions!$B$27</f>
        <v>134203.942745746</v>
      </c>
      <c r="O21" s="41" t="n">
        <f aca="false">(D21+E21)/Assumptions!$B$28</f>
        <v>43627.5892258322</v>
      </c>
      <c r="P21" s="41" t="n">
        <f aca="false">(F21+G21+H21)/Assumptions!$B$29</f>
        <v>65173.2362557999</v>
      </c>
      <c r="Q21" s="41" t="n">
        <f aca="false">C21*(1-Assumptions!$D$6)/Assumptions!$B$30</f>
        <v>5562.80422423693</v>
      </c>
      <c r="R21" s="42" t="n">
        <f aca="false">(L21*Assumptions!$B$53+M21*Assumptions!$B$35+N21*Assumptions!$B$36+O21*Assumptions!$B$37+P21*Assumptions!$B$38+Q21*Assumptions!$B$39)/1000000000</f>
        <v>11.4211980048696</v>
      </c>
      <c r="S21" s="42" t="n">
        <f aca="false">K21*1000000*Assumptions!$B$43/1000000000</f>
        <v>5.98664829390127</v>
      </c>
      <c r="T21" s="42" t="n">
        <f aca="false">R21+S21</f>
        <v>17.4078462987709</v>
      </c>
      <c r="U21" s="42" t="n">
        <f aca="false">J21*Assumptions!$B$59*1000/8760/'Load profile'!AA75</f>
        <v>5.0227675525737</v>
      </c>
      <c r="V21" s="42" t="n">
        <f aca="false">(D21+E21)*Assumptions!$B$64*Assumptions!$B$65*Assumptions!$B$66/1000000</f>
        <v>0.549707624245486</v>
      </c>
    </row>
    <row r="22" customFormat="false" ht="15" hidden="false" customHeight="true" outlineLevel="0" collapsed="false">
      <c r="A22" s="5" t="n">
        <v>2043</v>
      </c>
      <c r="B22" s="41" t="n">
        <f aca="false">'Fleet projections'!E51*1000000</f>
        <v>30033427.332897</v>
      </c>
      <c r="C22" s="41" t="n">
        <f aca="false">'Fleet projections'!C219*1000000*'EV adoption'!B37</f>
        <v>3532844.35618562</v>
      </c>
      <c r="D22" s="41" t="n">
        <f aca="false">'Fleet projections'!D219*1000000*'EV adoption'!C37</f>
        <v>2828307.05863928</v>
      </c>
      <c r="E22" s="41" t="n">
        <f aca="false">'Fleet projections'!E219*1000000*'EV adoption'!D37</f>
        <v>495317.985225739</v>
      </c>
      <c r="F22" s="41" t="n">
        <f aca="false">'Fleet projections'!F219*1000000*'EV adoption'!E37</f>
        <v>191540.233956671</v>
      </c>
      <c r="G22" s="41" t="n">
        <f aca="false">'Fleet projections'!G219*1000000*'EV adoption'!F37</f>
        <v>6275.3370541775</v>
      </c>
      <c r="H22" s="41" t="n">
        <f aca="false">'Fleet projections'!H219*1000000*'EV adoption'!G37</f>
        <v>4124.90787215682</v>
      </c>
      <c r="I22" s="41" t="n">
        <f aca="false">SUM(C22:H22)</f>
        <v>7058409.87893364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30.83513771271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16.6260491377512</v>
      </c>
      <c r="L22" s="41" t="n">
        <f aca="false">((D22*Assumptions!$D$7+E22*Assumptions!$D$8)*Assumptions!$B$51+C22*Assumptions!$D$6*Assumptions!$B$56)/Assumptions!$B$52</f>
        <v>2662364.93140921</v>
      </c>
      <c r="M22" s="41" t="n">
        <f aca="false">(D22*Assumptions!$D$7+E22*Assumptions!$D$8)*(1-Assumptions!$B$51)/Assumptions!$B$26</f>
        <v>319979.554755858</v>
      </c>
      <c r="N22" s="41" t="n">
        <f aca="false">(D22*(1-Assumptions!$D$7)+E22*(1-Assumptions!$D$8))/Assumptions!$B$27</f>
        <v>170308.902070132</v>
      </c>
      <c r="O22" s="41" t="n">
        <f aca="false">(D22+E22)/Assumptions!$B$28</f>
        <v>55393.7507310836</v>
      </c>
      <c r="P22" s="41" t="n">
        <f aca="false">(F22+G22+H22)/Assumptions!$B$29</f>
        <v>80776.1915532021</v>
      </c>
      <c r="Q22" s="41" t="n">
        <f aca="false">C22*(1-Assumptions!$D$6)/Assumptions!$B$30</f>
        <v>7065.68871237123</v>
      </c>
      <c r="R22" s="42" t="n">
        <f aca="false">(L22*Assumptions!$B$53+M22*Assumptions!$B$35+N22*Assumptions!$B$36+O22*Assumptions!$B$37+P22*Assumptions!$B$38+Q22*Assumptions!$B$39)/1000000000</f>
        <v>14.3347649013631</v>
      </c>
      <c r="S22" s="42" t="n">
        <f aca="false">K22*1000000*Assumptions!$B$43/1000000000</f>
        <v>7.48172211198804</v>
      </c>
      <c r="T22" s="42" t="n">
        <f aca="false">R22+S22</f>
        <v>21.8164870133511</v>
      </c>
      <c r="U22" s="42" t="n">
        <f aca="false">J22*Assumptions!$B$59*1000/8760/'Load profile'!AB75</f>
        <v>6.29738492884958</v>
      </c>
      <c r="V22" s="42" t="n">
        <f aca="false">(D22+E22)*Assumptions!$B$64*Assumptions!$B$65*Assumptions!$B$66/1000000</f>
        <v>0.697961259211654</v>
      </c>
    </row>
    <row r="23" customFormat="false" ht="15" hidden="false" customHeight="true" outlineLevel="0" collapsed="false">
      <c r="A23" s="5" t="n">
        <v>2044</v>
      </c>
      <c r="B23" s="41" t="n">
        <f aca="false">'Fleet projections'!E52*1000000</f>
        <v>31097788.5657615</v>
      </c>
      <c r="C23" s="41" t="n">
        <f aca="false">'Fleet projections'!C220*1000000*'EV adoption'!B38</f>
        <v>4414297.9430293</v>
      </c>
      <c r="D23" s="41" t="n">
        <f aca="false">'Fleet projections'!D220*1000000*'EV adoption'!C38</f>
        <v>3566679.08498031</v>
      </c>
      <c r="E23" s="41" t="n">
        <f aca="false">'Fleet projections'!E220*1000000*'EV adoption'!D38</f>
        <v>610492.668572769</v>
      </c>
      <c r="F23" s="41" t="n">
        <f aca="false">'Fleet projections'!F220*1000000*'EV adoption'!E38</f>
        <v>236372.716062079</v>
      </c>
      <c r="G23" s="41" t="n">
        <f aca="false">'Fleet projections'!G220*1000000*'EV adoption'!F38</f>
        <v>7662.64820137705</v>
      </c>
      <c r="H23" s="41" t="n">
        <f aca="false">'Fleet projections'!H220*1000000*'EV adoption'!G38</f>
        <v>5100.53415119587</v>
      </c>
      <c r="I23" s="41" t="n">
        <f aca="false">SUM(C23:H23)</f>
        <v>8840605.59499703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38.5369483195928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20.6315524853933</v>
      </c>
      <c r="L23" s="41" t="n">
        <f aca="false">((D23*Assumptions!$D$7+E23*Assumptions!$D$8)*Assumptions!$B$51+C23*Assumptions!$D$6*Assumptions!$B$56)/Assumptions!$B$52</f>
        <v>3334022.57570942</v>
      </c>
      <c r="M23" s="41" t="n">
        <f aca="false">(D23*Assumptions!$D$7+E23*Assumptions!$D$8)*(1-Assumptions!$B$51)/Assumptions!$B$26</f>
        <v>402454.858640989</v>
      </c>
      <c r="N23" s="41" t="n">
        <f aca="false">(D23*(1-Assumptions!$D$7)+E23*(1-Assumptions!$D$8))/Assumptions!$B$27</f>
        <v>213946.026582427</v>
      </c>
      <c r="O23" s="41" t="n">
        <f aca="false">(D23+E23)/Assumptions!$B$28</f>
        <v>69619.5292258847</v>
      </c>
      <c r="P23" s="41" t="n">
        <f aca="false">(F23+G23+H23)/Assumptions!$B$29</f>
        <v>99654.3593658609</v>
      </c>
      <c r="Q23" s="41" t="n">
        <f aca="false">C23*(1-Assumptions!$D$6)/Assumptions!$B$30</f>
        <v>8828.59588605859</v>
      </c>
      <c r="R23" s="42" t="n">
        <f aca="false">(L23*Assumptions!$B$53+M23*Assumptions!$B$35+N23*Assumptions!$B$36+O23*Assumptions!$B$37+P23*Assumptions!$B$38+Q23*Assumptions!$B$39)/1000000000</f>
        <v>17.8368931629491</v>
      </c>
      <c r="S23" s="42" t="n">
        <f aca="false">K23*1000000*Assumptions!$B$43/1000000000</f>
        <v>9.28419861842698</v>
      </c>
      <c r="T23" s="42" t="n">
        <f aca="false">R23+S23</f>
        <v>27.121091781376</v>
      </c>
      <c r="U23" s="42" t="n">
        <f aca="false">J23*Assumptions!$B$59*1000/8760/'Load profile'!AC75</f>
        <v>7.83836019142398</v>
      </c>
      <c r="V23" s="42" t="n">
        <f aca="false">(D23+E23)*Assumptions!$B$64*Assumptions!$B$65*Assumptions!$B$66/1000000</f>
        <v>0.877206068246147</v>
      </c>
    </row>
    <row r="24" customFormat="false" ht="15" hidden="false" customHeight="true" outlineLevel="0" collapsed="false">
      <c r="A24" s="5" t="n">
        <v>2045</v>
      </c>
      <c r="B24" s="41" t="n">
        <f aca="false">'Fleet projections'!E53*1000000</f>
        <v>32193486.1687361</v>
      </c>
      <c r="C24" s="41" t="n">
        <f aca="false">'Fleet projections'!C221*1000000*'EV adoption'!B39</f>
        <v>5417088.4759286</v>
      </c>
      <c r="D24" s="41" t="n">
        <f aca="false">'Fleet projections'!D221*1000000*'EV adoption'!C39</f>
        <v>4443396.47481572</v>
      </c>
      <c r="E24" s="41" t="n">
        <f aca="false">'Fleet projections'!E221*1000000*'EV adoption'!D39</f>
        <v>745412.125564197</v>
      </c>
      <c r="F24" s="41" t="n">
        <f aca="false">'Fleet projections'!F221*1000000*'EV adoption'!E39</f>
        <v>290238.479518168</v>
      </c>
      <c r="G24" s="41" t="n">
        <f aca="false">'Fleet projections'!G221*1000000*'EV adoption'!F39</f>
        <v>9245.68654325602</v>
      </c>
      <c r="H24" s="41" t="n">
        <f aca="false">'Fleet projections'!H221*1000000*'EV adoption'!G39</f>
        <v>6255.09329627225</v>
      </c>
      <c r="I24" s="41" t="n">
        <f aca="false">SUM(C24:H24)</f>
        <v>10911636.3356662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47.67837812658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25.3944151736399</v>
      </c>
      <c r="L24" s="41" t="n">
        <f aca="false">((D24*Assumptions!$D$7+E24*Assumptions!$D$8)*Assumptions!$B$51+C24*Assumptions!$D$6*Assumptions!$B$56)/Assumptions!$B$52</f>
        <v>4109231.79728118</v>
      </c>
      <c r="M24" s="41" t="n">
        <f aca="false">(D24*Assumptions!$D$7+E24*Assumptions!$D$8)*(1-Assumptions!$B$51)/Assumptions!$B$26</f>
        <v>500245.556898887</v>
      </c>
      <c r="N24" s="41" t="n">
        <f aca="false">(D24*(1-Assumptions!$D$7)+E24*(1-Assumptions!$D$8))/Assumptions!$B$27</f>
        <v>265652.197732031</v>
      </c>
      <c r="O24" s="41" t="n">
        <f aca="false">(D24+E24)/Assumptions!$B$28</f>
        <v>86480.1433396652</v>
      </c>
      <c r="P24" s="41" t="n">
        <f aca="false">(F24+G24+H24)/Assumptions!$B$29</f>
        <v>122295.703743078</v>
      </c>
      <c r="Q24" s="41" t="n">
        <f aca="false">C24*(1-Assumptions!$D$6)/Assumptions!$B$30</f>
        <v>10834.1769518572</v>
      </c>
      <c r="R24" s="42" t="n">
        <f aca="false">(L24*Assumptions!$B$53+M24*Assumptions!$B$35+N24*Assumptions!$B$36+O24*Assumptions!$B$37+P24*Assumptions!$B$38+Q24*Assumptions!$B$39)/1000000000</f>
        <v>21.976806417324</v>
      </c>
      <c r="S24" s="42" t="n">
        <f aca="false">K24*1000000*Assumptions!$B$43/1000000000</f>
        <v>11.4274868281379</v>
      </c>
      <c r="T24" s="42" t="n">
        <f aca="false">R24+S24</f>
        <v>33.4042932454619</v>
      </c>
      <c r="U24" s="42" t="n">
        <f aca="false">J24*Assumptions!$B$59*1000/8760/'Load profile'!AD75</f>
        <v>9.67460997106312</v>
      </c>
      <c r="V24" s="42" t="n">
        <f aca="false">(D24+E24)*Assumptions!$B$64*Assumptions!$B$65*Assumptions!$B$66/1000000</f>
        <v>1.08964980607978</v>
      </c>
    </row>
    <row r="25" customFormat="false" ht="15" hidden="false" customHeight="true" outlineLevel="0" collapsed="false">
      <c r="A25" s="5" t="n">
        <v>2046</v>
      </c>
      <c r="B25" s="41" t="n">
        <f aca="false">'Fleet projections'!E54*1000000</f>
        <v>33321180.5902703</v>
      </c>
      <c r="C25" s="41" t="n">
        <f aca="false">'Fleet projections'!C222*1000000*'EV adoption'!B40</f>
        <v>6521587.54908608</v>
      </c>
      <c r="D25" s="41" t="n">
        <f aca="false">'Fleet projections'!D222*1000000*'EV adoption'!C40</f>
        <v>5460626.50477914</v>
      </c>
      <c r="E25" s="41" t="n">
        <f aca="false">'Fleet projections'!E222*1000000*'EV adoption'!D40</f>
        <v>900714.853661834</v>
      </c>
      <c r="F25" s="41" t="n">
        <f aca="false">'Fleet projections'!F222*1000000*'EV adoption'!E40</f>
        <v>354338.541006491</v>
      </c>
      <c r="G25" s="41" t="n">
        <f aca="false">'Fleet projections'!G222*1000000*'EV adoption'!F40</f>
        <v>11013.6822214927</v>
      </c>
      <c r="H25" s="41" t="n">
        <f aca="false">'Fleet projections'!H222*1000000*'EV adoption'!G40</f>
        <v>7600.27471794569</v>
      </c>
      <c r="I25" s="41" t="n">
        <f aca="false">SUM(C25:H25)</f>
        <v>13255881.405473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58.3229842487175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30.9732749907192</v>
      </c>
      <c r="L25" s="41" t="n">
        <f aca="false">((D25*Assumptions!$D$7+E25*Assumptions!$D$8)*Assumptions!$B$51+C25*Assumptions!$D$6*Assumptions!$B$56)/Assumptions!$B$52</f>
        <v>4978919.31515018</v>
      </c>
      <c r="M25" s="41" t="n">
        <f aca="false">(D25*Assumptions!$D$7+E25*Assumptions!$D$8)*(1-Assumptions!$B$51)/Assumptions!$B$26</f>
        <v>613616.264502552</v>
      </c>
      <c r="N25" s="41" t="n">
        <f aca="false">(D25*(1-Assumptions!$D$7)+E25*(1-Assumptions!$D$8))/Assumptions!$B$27</f>
        <v>325573.025035897</v>
      </c>
      <c r="O25" s="41" t="n">
        <f aca="false">(D25+E25)/Assumptions!$B$28</f>
        <v>106022.355974016</v>
      </c>
      <c r="P25" s="41" t="n">
        <f aca="false">(F25+G25+H25)/Assumptions!$B$29</f>
        <v>149180.999178372</v>
      </c>
      <c r="Q25" s="41" t="n">
        <f aca="false">C25*(1-Assumptions!$D$6)/Assumptions!$B$30</f>
        <v>13043.1750981722</v>
      </c>
      <c r="R25" s="42" t="n">
        <f aca="false">(L25*Assumptions!$B$53+M25*Assumptions!$B$35+N25*Assumptions!$B$36+O25*Assumptions!$B$37+P25*Assumptions!$B$38+Q25*Assumptions!$B$39)/1000000000</f>
        <v>26.7835856905741</v>
      </c>
      <c r="S25" s="42" t="n">
        <f aca="false">K25*1000000*Assumptions!$B$43/1000000000</f>
        <v>13.9379737458236</v>
      </c>
      <c r="T25" s="42" t="n">
        <f aca="false">R25+S25</f>
        <v>40.7215594363977</v>
      </c>
      <c r="U25" s="42" t="n">
        <f aca="false">J25*Assumptions!$B$59*1000/8760/'Load profile'!AE75</f>
        <v>11.8278718572928</v>
      </c>
      <c r="V25" s="42" t="n">
        <f aca="false">(D25+E25)*Assumptions!$B$64*Assumptions!$B$65*Assumptions!$B$66/1000000</f>
        <v>1.3358816852726</v>
      </c>
    </row>
    <row r="26" customFormat="false" ht="15" hidden="false" customHeight="true" outlineLevel="0" collapsed="false">
      <c r="A26" s="5" t="n">
        <v>2047</v>
      </c>
      <c r="B26" s="41" t="n">
        <f aca="false">'Fleet projections'!E55*1000000</f>
        <v>34481536.2008992</v>
      </c>
      <c r="C26" s="41" t="n">
        <f aca="false">'Fleet projections'!C223*1000000*'EV adoption'!B41</f>
        <v>7698958.81422724</v>
      </c>
      <c r="D26" s="41" t="n">
        <f aca="false">'Fleet projections'!D223*1000000*'EV adoption'!C41</f>
        <v>6611562.73567079</v>
      </c>
      <c r="E26" s="41" t="n">
        <f aca="false">'Fleet projections'!E223*1000000*'EV adoption'!D41</f>
        <v>1076114.09511509</v>
      </c>
      <c r="F26" s="41" t="n">
        <f aca="false">'Fleet projections'!F223*1000000*'EV adoption'!E41</f>
        <v>429790.039392449</v>
      </c>
      <c r="G26" s="41" t="n">
        <f aca="false">'Fleet projections'!G223*1000000*'EV adoption'!F41</f>
        <v>12944.6611390631</v>
      </c>
      <c r="H26" s="41" t="n">
        <f aca="false">'Fleet projections'!H223*1000000*'EV adoption'!G41</f>
        <v>9140.86068159711</v>
      </c>
      <c r="I26" s="41" t="n">
        <f aca="false">SUM(C26:H26)</f>
        <v>15838511.2062262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70.4662411824619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37.4048518909252</v>
      </c>
      <c r="L26" s="41" t="n">
        <f aca="false">((D26*Assumptions!$D$7+E26*Assumptions!$D$8)*Assumptions!$B$51+C26*Assumptions!$D$6*Assumptions!$B$56)/Assumptions!$B$52</f>
        <v>5926700.93307561</v>
      </c>
      <c r="M26" s="41" t="n">
        <f aca="false">(D26*Assumptions!$D$7+E26*Assumptions!$D$8)*(1-Assumptions!$B$51)/Assumptions!$B$26</f>
        <v>741864.830700711</v>
      </c>
      <c r="N26" s="41" t="n">
        <f aca="false">(D26*(1-Assumptions!$D$7)+E26*(1-Assumptions!$D$8))/Assumptions!$B$27</f>
        <v>393351.458998586</v>
      </c>
      <c r="O26" s="41" t="n">
        <f aca="false">(D26+E26)/Assumptions!$B$28</f>
        <v>128127.947179765</v>
      </c>
      <c r="P26" s="41" t="n">
        <f aca="false">(F26+G26+H26)/Assumptions!$B$29</f>
        <v>180750.224485244</v>
      </c>
      <c r="Q26" s="41" t="n">
        <f aca="false">C26*(1-Assumptions!$D$6)/Assumptions!$B$30</f>
        <v>15397.9176284545</v>
      </c>
      <c r="R26" s="42" t="n">
        <f aca="false">(L26*Assumptions!$B$53+M26*Assumptions!$B$35+N26*Assumptions!$B$36+O26*Assumptions!$B$37+P26*Assumptions!$B$38+Q26*Assumptions!$B$39)/1000000000</f>
        <v>32.2616478032502</v>
      </c>
      <c r="S26" s="42" t="n">
        <f aca="false">K26*1000000*Assumptions!$B$43/1000000000</f>
        <v>16.8321833509164</v>
      </c>
      <c r="T26" s="42" t="n">
        <f aca="false">R26+S26</f>
        <v>49.0938311541666</v>
      </c>
      <c r="U26" s="42" t="n">
        <f aca="false">J26*Assumptions!$B$59*1000/8760/'Load profile'!AF75</f>
        <v>14.3096005029691</v>
      </c>
      <c r="V26" s="42" t="n">
        <f aca="false">(D26+E26)*Assumptions!$B$64*Assumptions!$B$65*Assumptions!$B$66/1000000</f>
        <v>1.61441213446503</v>
      </c>
    </row>
    <row r="27" customFormat="false" ht="15" hidden="false" customHeight="true" outlineLevel="0" collapsed="false">
      <c r="A27" s="5" t="n">
        <v>2048</v>
      </c>
      <c r="B27" s="41" t="n">
        <f aca="false">'Fleet projections'!E56*1000000</f>
        <v>35675220.6647341</v>
      </c>
      <c r="C27" s="41" t="n">
        <f aca="false">'Fleet projections'!C224*1000000*'EV adoption'!B42</f>
        <v>8915186.85985385</v>
      </c>
      <c r="D27" s="41" t="n">
        <f aca="false">'Fleet projections'!D224*1000000*'EV adoption'!C42</f>
        <v>7879673.47183716</v>
      </c>
      <c r="E27" s="41" t="n">
        <f aca="false">'Fleet projections'!E224*1000000*'EV adoption'!D42</f>
        <v>1270266.91472081</v>
      </c>
      <c r="F27" s="41" t="n">
        <f aca="false">'Fleet projections'!F224*1000000*'EV adoption'!E42</f>
        <v>517524.817531088</v>
      </c>
      <c r="G27" s="41" t="n">
        <f aca="false">'Fleet projections'!G224*1000000*'EV adoption'!F42</f>
        <v>15006.8219035645</v>
      </c>
      <c r="H27" s="41" t="n">
        <f aca="false">'Fleet projections'!H224*1000000*'EV adoption'!G42</f>
        <v>10872.8531243417</v>
      </c>
      <c r="I27" s="41" t="n">
        <f aca="false">SUM(C27:H27)</f>
        <v>18608531.7389708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84.0275927959734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44.6993617948263</v>
      </c>
      <c r="L27" s="41" t="n">
        <f aca="false">((D27*Assumptions!$D$7+E27*Assumptions!$D$8)*Assumptions!$B$51+C27*Assumptions!$D$6*Assumptions!$B$56)/Assumptions!$B$52</f>
        <v>6930658.0541327</v>
      </c>
      <c r="M27" s="41" t="n">
        <f aca="false">(D27*Assumptions!$D$7+E27*Assumptions!$D$8)*(1-Assumptions!$B$51)/Assumptions!$B$26</f>
        <v>883237.365787776</v>
      </c>
      <c r="N27" s="41" t="n">
        <f aca="false">(D27*(1-Assumptions!$D$7)+E27*(1-Assumptions!$D$8))/Assumptions!$B$27</f>
        <v>468082.576950572</v>
      </c>
      <c r="O27" s="41" t="n">
        <f aca="false">(D27+E27)/Assumptions!$B$28</f>
        <v>152499.006442633</v>
      </c>
      <c r="P27" s="41" t="n">
        <f aca="false">(F27+G27+H27)/Assumptions!$B$29</f>
        <v>217361.797023598</v>
      </c>
      <c r="Q27" s="41" t="n">
        <f aca="false">C27*(1-Assumptions!$D$6)/Assumptions!$B$30</f>
        <v>17830.3737197077</v>
      </c>
      <c r="R27" s="42" t="n">
        <f aca="false">(L27*Assumptions!$B$53+M27*Assumptions!$B$35+N27*Assumptions!$B$36+O27*Assumptions!$B$37+P27*Assumptions!$B$38+Q27*Assumptions!$B$39)/1000000000</f>
        <v>38.3892707359846</v>
      </c>
      <c r="S27" s="42" t="n">
        <f aca="false">K27*1000000*Assumptions!$B$43/1000000000</f>
        <v>20.1147128076718</v>
      </c>
      <c r="T27" s="42" t="n">
        <f aca="false">R27+S27</f>
        <v>58.5039835436564</v>
      </c>
      <c r="U27" s="42" t="n">
        <f aca="false">J27*Assumptions!$B$59*1000/8760/'Load profile'!AG75</f>
        <v>17.1187600603475</v>
      </c>
      <c r="V27" s="42" t="n">
        <f aca="false">(D27+E27)*Assumptions!$B$64*Assumptions!$B$65*Assumptions!$B$66/1000000</f>
        <v>1.92148748117717</v>
      </c>
    </row>
    <row r="28" customFormat="false" ht="15" hidden="false" customHeight="true" outlineLevel="0" collapsed="false">
      <c r="A28" s="5" t="n">
        <v>2049</v>
      </c>
      <c r="B28" s="41" t="n">
        <f aca="false">'Fleet projections'!E57*1000000</f>
        <v>36902904.7709068</v>
      </c>
      <c r="C28" s="41" t="n">
        <f aca="false">'Fleet projections'!C225*1000000*'EV adoption'!B43</f>
        <v>10136279.8598582</v>
      </c>
      <c r="D28" s="41" t="n">
        <f aca="false">'Fleet projections'!D225*1000000*'EV adoption'!C43</f>
        <v>9239702.93569023</v>
      </c>
      <c r="E28" s="41" t="n">
        <f aca="false">'Fleet projections'!E225*1000000*'EV adoption'!D43</f>
        <v>1480778.92075784</v>
      </c>
      <c r="F28" s="41" t="n">
        <f aca="false">'Fleet projections'!F225*1000000*'EV adoption'!E43</f>
        <v>618176.101315739</v>
      </c>
      <c r="G28" s="41" t="n">
        <f aca="false">'Fleet projections'!G225*1000000*'EV adoption'!F43</f>
        <v>17161.6169084488</v>
      </c>
      <c r="H28" s="41" t="n">
        <f aca="false">'Fleet projections'!H225*1000000*'EV adoption'!G43</f>
        <v>12782.4417925727</v>
      </c>
      <c r="I28" s="41" t="n">
        <f aca="false">SUM(C28:H28)</f>
        <v>21504881.876323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98.8538602493404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52.8382708647084</v>
      </c>
      <c r="L28" s="41" t="n">
        <f aca="false">((D28*Assumptions!$D$7+E28*Assumptions!$D$8)*Assumptions!$B$51+C28*Assumptions!$D$6*Assumptions!$B$56)/Assumptions!$B$52</f>
        <v>7966220.32528152</v>
      </c>
      <c r="M28" s="41" t="n">
        <f aca="false">(D28*Assumptions!$D$7+E28*Assumptions!$D$8)*(1-Assumptions!$B$51)/Assumptions!$B$26</f>
        <v>1035028.71262586</v>
      </c>
      <c r="N28" s="41" t="n">
        <f aca="false">(D28*(1-Assumptions!$D$7)+E28*(1-Assumptions!$D$8))/Assumptions!$B$27</f>
        <v>548363.917162052</v>
      </c>
      <c r="O28" s="41" t="n">
        <f aca="false">(D28+E28)/Assumptions!$B$28</f>
        <v>178674.697607468</v>
      </c>
      <c r="P28" s="41" t="n">
        <f aca="false">(F28+G28+H28)/Assumptions!$B$29</f>
        <v>259248.064006704</v>
      </c>
      <c r="Q28" s="41" t="n">
        <f aca="false">C28*(1-Assumptions!$D$6)/Assumptions!$B$30</f>
        <v>20272.5597197164</v>
      </c>
      <c r="R28" s="42" t="n">
        <f aca="false">(L28*Assumptions!$B$53+M28*Assumptions!$B$35+N28*Assumptions!$B$36+O28*Assumptions!$B$37+P28*Assumptions!$B$38+Q28*Assumptions!$B$39)/1000000000</f>
        <v>45.1203783892677</v>
      </c>
      <c r="S28" s="42" t="n">
        <f aca="false">K28*1000000*Assumptions!$B$43/1000000000</f>
        <v>23.7772218891188</v>
      </c>
      <c r="T28" s="42" t="n">
        <f aca="false">R28+S28</f>
        <v>68.8976002783865</v>
      </c>
      <c r="U28" s="42" t="n">
        <f aca="false">J28*Assumptions!$B$59*1000/8760/'Load profile'!AH75</f>
        <v>20.2410576584323</v>
      </c>
      <c r="V28" s="42" t="n">
        <f aca="false">(D28+E28)*Assumptions!$B$64*Assumptions!$B$65*Assumptions!$B$66/1000000</f>
        <v>2.2513011898541</v>
      </c>
    </row>
    <row r="29" customFormat="false" ht="15" hidden="false" customHeight="true" outlineLevel="0" collapsed="false">
      <c r="A29" s="5" t="n">
        <v>2050</v>
      </c>
      <c r="B29" s="41" t="n">
        <f aca="false">'Fleet projections'!E58*1000000</f>
        <v>38165261.210337</v>
      </c>
      <c r="C29" s="41" t="n">
        <f aca="false">'Fleet projections'!C226*1000000*'EV adoption'!B44</f>
        <v>11333061.519508</v>
      </c>
      <c r="D29" s="41" t="n">
        <f aca="false">'Fleet projections'!D226*1000000*'EV adoption'!C44</f>
        <v>10660453.9281863</v>
      </c>
      <c r="E29" s="41" t="n">
        <f aca="false">'Fleet projections'!E226*1000000*'EV adoption'!D44</f>
        <v>1704368.51082012</v>
      </c>
      <c r="F29" s="41" t="n">
        <f aca="false">'Fleet projections'!F226*1000000*'EV adoption'!E44</f>
        <v>731967.620588173</v>
      </c>
      <c r="G29" s="41" t="n">
        <f aca="false">'Fleet projections'!G226*1000000*'EV adoption'!F44</f>
        <v>19367.953398644</v>
      </c>
      <c r="H29" s="41" t="n">
        <f aca="false">'Fleet projections'!H226*1000000*'EV adoption'!G44</f>
        <v>14846.2272259122</v>
      </c>
      <c r="I29" s="41" t="n">
        <f aca="false">SUM(C29:H29)</f>
        <v>24464065.7597272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114.734150656462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61.7744412138749</v>
      </c>
      <c r="L29" s="41" t="n">
        <f aca="false">((D29*Assumptions!$D$7+E29*Assumptions!$D$8)*Assumptions!$B$51+C29*Assumptions!$D$6*Assumptions!$B$56)/Assumptions!$B$52</f>
        <v>9009375.24691841</v>
      </c>
      <c r="M29" s="41" t="n">
        <f aca="false">(D29*Assumptions!$D$7+E29*Assumptions!$D$8)*(1-Assumptions!$B$51)/Assumptions!$B$26</f>
        <v>1193873.03113014</v>
      </c>
      <c r="N29" s="41" t="n">
        <f aca="false">(D29*(1-Assumptions!$D$7)+E29*(1-Assumptions!$D$8))/Assumptions!$B$27</f>
        <v>632444.192873822</v>
      </c>
      <c r="O29" s="41" t="n">
        <f aca="false">(D29+E29)/Assumptions!$B$28</f>
        <v>206080.37398344</v>
      </c>
      <c r="P29" s="41" t="n">
        <f aca="false">(F29+G29+H29)/Assumptions!$B$29</f>
        <v>306472.720485092</v>
      </c>
      <c r="Q29" s="41" t="n">
        <f aca="false">C29*(1-Assumptions!$D$6)/Assumptions!$B$30</f>
        <v>22666.1230390161</v>
      </c>
      <c r="R29" s="42" t="n">
        <f aca="false">(L29*Assumptions!$B$53+M29*Assumptions!$B$35+N29*Assumptions!$B$36+O29*Assumptions!$B$37+P29*Assumptions!$B$38+Q29*Assumptions!$B$39)/1000000000</f>
        <v>52.3888725308626</v>
      </c>
      <c r="S29" s="42" t="n">
        <f aca="false">K29*1000000*Assumptions!$B$43/1000000000</f>
        <v>27.7984985462437</v>
      </c>
      <c r="T29" s="42" t="n">
        <f aca="false">R29+S29</f>
        <v>80.1873710771063</v>
      </c>
      <c r="U29" s="42" t="n">
        <f aca="false">J29*Assumptions!$B$59*1000/8760/'Load profile'!AI75</f>
        <v>23.6498002030427</v>
      </c>
      <c r="V29" s="42" t="n">
        <f aca="false">(D29+E29)*Assumptions!$B$64*Assumptions!$B$65*Assumptions!$B$66/1000000</f>
        <v>2.59661271219135</v>
      </c>
    </row>
    <row r="30" customFormat="false" ht="15" hidden="false" customHeight="true" outlineLevel="0" collapsed="false">
      <c r="A30" s="5" t="n">
        <v>2051</v>
      </c>
      <c r="B30" s="41" t="n">
        <f aca="false">'Fleet projections'!E59*1000000</f>
        <v>39462964.8626403</v>
      </c>
      <c r="C30" s="41" t="n">
        <f aca="false">'Fleet projections'!C227*1000000*'EV adoption'!B45</f>
        <v>12484272.9555469</v>
      </c>
      <c r="D30" s="41" t="n">
        <f aca="false">'Fleet projections'!D227*1000000*'EV adoption'!C45</f>
        <v>12108761.4613433</v>
      </c>
      <c r="E30" s="41" t="n">
        <f aca="false">'Fleet projections'!E227*1000000*'EV adoption'!D45</f>
        <v>1937174.09949374</v>
      </c>
      <c r="F30" s="41" t="n">
        <f aca="false">'Fleet projections'!F227*1000000*'EV adoption'!E45</f>
        <v>858624.663674176</v>
      </c>
      <c r="G30" s="41" t="n">
        <f aca="false">'Fleet projections'!G227*1000000*'EV adoption'!F45</f>
        <v>21586.5970787794</v>
      </c>
      <c r="H30" s="41" t="n">
        <f aca="false">'Fleet projections'!H227*1000000*'EV adoption'!G45</f>
        <v>17032.8675016225</v>
      </c>
      <c r="I30" s="41" t="n">
        <f aca="false">SUM(C30:H30)</f>
        <v>27427452.6446385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131.422871776427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71.4343221628424</v>
      </c>
      <c r="L30" s="41" t="n">
        <f aca="false">((D30*Assumptions!$D$7+E30*Assumptions!$D$8)*Assumptions!$B$51+C30*Assumptions!$D$6*Assumptions!$B$56)/Assumptions!$B$52</f>
        <v>10039396.2478432</v>
      </c>
      <c r="M30" s="41" t="n">
        <f aca="false">(D30*Assumptions!$D$7+E30*Assumptions!$D$8)*(1-Assumptions!$B$51)/Assumptions!$B$26</f>
        <v>1356164.20359636</v>
      </c>
      <c r="N30" s="41" t="n">
        <f aca="false">(D30*(1-Assumptions!$D$7)+E30*(1-Assumptions!$D$8))/Assumptions!$B$27</f>
        <v>718439.895537634</v>
      </c>
      <c r="O30" s="41" t="n">
        <f aca="false">(D30+E30)/Assumptions!$B$28</f>
        <v>234098.926013951</v>
      </c>
      <c r="P30" s="41" t="n">
        <f aca="false">(F30+G30+H30)/Assumptions!$B$29</f>
        <v>358897.651301831</v>
      </c>
      <c r="Q30" s="41" t="n">
        <f aca="false">C30*(1-Assumptions!$D$6)/Assumptions!$B$30</f>
        <v>24968.5459110937</v>
      </c>
      <c r="R30" s="42" t="n">
        <f aca="false">(L30*Assumptions!$B$53+M30*Assumptions!$B$35+N30*Assumptions!$B$36+O30*Assumptions!$B$37+P30*Assumptions!$B$38+Q30*Assumptions!$B$39)/1000000000</f>
        <v>60.1142773407259</v>
      </c>
      <c r="S30" s="42" t="n">
        <f aca="false">K30*1000000*Assumptions!$B$43/1000000000</f>
        <v>32.1454449732791</v>
      </c>
      <c r="T30" s="42" t="n">
        <f aca="false">R30+S30</f>
        <v>92.259722314005</v>
      </c>
      <c r="U30" s="42" t="n">
        <f aca="false">J30*Assumptions!$B$59*1000/8760/'Load profile'!AJ75</f>
        <v>27.3081190507826</v>
      </c>
      <c r="V30" s="42" t="n">
        <f aca="false">(D30+E30)*Assumptions!$B$64*Assumptions!$B$65*Assumptions!$B$66/1000000</f>
        <v>2.94964646777578</v>
      </c>
    </row>
    <row r="31" customFormat="false" ht="15" hidden="false" customHeight="true" outlineLevel="0" collapsed="false">
      <c r="A31" s="5" t="n">
        <v>2052</v>
      </c>
      <c r="B31" s="41" t="n">
        <f aca="false">'Fleet projections'!E60*1000000</f>
        <v>40796692.0628902</v>
      </c>
      <c r="C31" s="41" t="n">
        <f aca="false">'Fleet projections'!C228*1000000*'EV adoption'!B46</f>
        <v>13577530.7499594</v>
      </c>
      <c r="D31" s="41" t="n">
        <f aca="false">'Fleet projections'!D228*1000000*'EV adoption'!C46</f>
        <v>13553641.4545935</v>
      </c>
      <c r="E31" s="41" t="n">
        <f aca="false">'Fleet projections'!E228*1000000*'EV adoption'!D46</f>
        <v>2175147.17745791</v>
      </c>
      <c r="F31" s="41" t="n">
        <f aca="false">'Fleet projections'!F228*1000000*'EV adoption'!E46</f>
        <v>997327.956355739</v>
      </c>
      <c r="G31" s="41" t="n">
        <f aca="false">'Fleet projections'!G228*1000000*'EV adoption'!F46</f>
        <v>23783.8539412387</v>
      </c>
      <c r="H31" s="41" t="n">
        <f aca="false">'Fleet projections'!H228*1000000*'EV adoption'!G46</f>
        <v>19305.9588334543</v>
      </c>
      <c r="I31" s="41" t="n">
        <f aca="false">SUM(C31:H31)</f>
        <v>30346737.1511412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148.665182761301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81.7217419184496</v>
      </c>
      <c r="L31" s="41" t="n">
        <f aca="false">((D31*Assumptions!$D$7+E31*Assumptions!$D$8)*Assumptions!$B$51+C31*Assumptions!$D$6*Assumptions!$B$56)/Assumptions!$B$52</f>
        <v>11040565.889532</v>
      </c>
      <c r="M31" s="41" t="n">
        <f aca="false">(D31*Assumptions!$D$7+E31*Assumptions!$D$8)*(1-Assumptions!$B$51)/Assumptions!$B$26</f>
        <v>1518500.18376869</v>
      </c>
      <c r="N31" s="41" t="n">
        <f aca="false">(D31*(1-Assumptions!$D$7)+E31*(1-Assumptions!$D$8))/Assumptions!$B$27</f>
        <v>804565.658081384</v>
      </c>
      <c r="O31" s="41" t="n">
        <f aca="false">(D31+E31)/Assumptions!$B$28</f>
        <v>262146.477200856</v>
      </c>
      <c r="P31" s="41" t="n">
        <f aca="false">(F31+G31+H31)/Assumptions!$B$29</f>
        <v>416167.107652173</v>
      </c>
      <c r="Q31" s="41" t="n">
        <f aca="false">C31*(1-Assumptions!$D$6)/Assumptions!$B$30</f>
        <v>27155.0614999188</v>
      </c>
      <c r="R31" s="42" t="n">
        <f aca="false">(L31*Assumptions!$B$53+M31*Assumptions!$B$35+N31*Assumptions!$B$36+O31*Assumptions!$B$37+P31*Assumptions!$B$38+Q31*Assumptions!$B$39)/1000000000</f>
        <v>68.2075064944605</v>
      </c>
      <c r="S31" s="42" t="n">
        <f aca="false">K31*1000000*Assumptions!$B$43/1000000000</f>
        <v>36.7747838633023</v>
      </c>
      <c r="T31" s="42" t="n">
        <f aca="false">R31+S31</f>
        <v>104.982290357763</v>
      </c>
      <c r="U31" s="42" t="n">
        <f aca="false">J31*Assumptions!$B$59*1000/8760/'Load profile'!AK75</f>
        <v>31.1720018370179</v>
      </c>
      <c r="V31" s="42" t="n">
        <f aca="false">(D31+E31)*Assumptions!$B$64*Assumptions!$B$65*Assumptions!$B$66/1000000</f>
        <v>3.30304561273079</v>
      </c>
    </row>
    <row r="32" customFormat="false" ht="15" hidden="false" customHeight="true" outlineLevel="0" collapsed="false">
      <c r="A32" s="5" t="n">
        <v>2053</v>
      </c>
      <c r="B32" s="41" t="n">
        <f aca="false">'Fleet projections'!E61*1000000</f>
        <v>42167120.0963316</v>
      </c>
      <c r="C32" s="41" t="n">
        <f aca="false">'Fleet projections'!C229*1000000*'EV adoption'!B47</f>
        <v>14608497.3601971</v>
      </c>
      <c r="D32" s="41" t="n">
        <f aca="false">'Fleet projections'!D229*1000000*'EV adoption'!C47</f>
        <v>14969599.2836688</v>
      </c>
      <c r="E32" s="41" t="n">
        <f aca="false">'Fleet projections'!E229*1000000*'EV adoption'!D47</f>
        <v>2414451.08088867</v>
      </c>
      <c r="F32" s="41" t="n">
        <f aca="false">'Fleet projections'!F229*1000000*'EV adoption'!E47</f>
        <v>1146727.11297777</v>
      </c>
      <c r="G32" s="41" t="n">
        <f aca="false">'Fleet projections'!G229*1000000*'EV adoption'!F47</f>
        <v>25933.9134510821</v>
      </c>
      <c r="H32" s="41" t="n">
        <f aca="false">'Fleet projections'!H229*1000000*'EV adoption'!G47</f>
        <v>21627.6226057358</v>
      </c>
      <c r="I32" s="41" t="n">
        <f aca="false">SUM(C32:H32)</f>
        <v>33186836.3737892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166.219322167251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92.5230002850249</v>
      </c>
      <c r="L32" s="41" t="n">
        <f aca="false">((D32*Assumptions!$D$7+E32*Assumptions!$D$8)*Assumptions!$B$51+C32*Assumptions!$D$6*Assumptions!$B$56)/Assumptions!$B$52</f>
        <v>12002771.2065125</v>
      </c>
      <c r="M32" s="41" t="n">
        <f aca="false">(D32*Assumptions!$D$7+E32*Assumptions!$D$8)*(1-Assumptions!$B$51)/Assumptions!$B$26</f>
        <v>1678043.75943353</v>
      </c>
      <c r="N32" s="41" t="n">
        <f aca="false">(D32*(1-Assumptions!$D$7)+E32*(1-Assumptions!$D$8))/Assumptions!$B$27</f>
        <v>889322.943901946</v>
      </c>
      <c r="O32" s="41" t="n">
        <f aca="false">(D32+E32)/Assumptions!$B$28</f>
        <v>289734.172742625</v>
      </c>
      <c r="P32" s="41" t="n">
        <f aca="false">(F32+G32+H32)/Assumptions!$B$29</f>
        <v>477715.459613835</v>
      </c>
      <c r="Q32" s="41" t="n">
        <f aca="false">C32*(1-Assumptions!$D$6)/Assumptions!$B$30</f>
        <v>29216.9947203943</v>
      </c>
      <c r="R32" s="42" t="n">
        <f aca="false">(L32*Assumptions!$B$53+M32*Assumptions!$B$35+N32*Assumptions!$B$36+O32*Assumptions!$B$37+P32*Assumptions!$B$38+Q32*Assumptions!$B$39)/1000000000</f>
        <v>76.5760377920718</v>
      </c>
      <c r="S32" s="42" t="n">
        <f aca="false">K32*1000000*Assumptions!$B$43/1000000000</f>
        <v>41.6353501282612</v>
      </c>
      <c r="T32" s="42" t="n">
        <f aca="false">R32+S32</f>
        <v>118.211387920333</v>
      </c>
      <c r="U32" s="42" t="n">
        <f aca="false">J32*Assumptions!$B$59*1000/8760/'Load profile'!AL75</f>
        <v>35.1935374093214</v>
      </c>
      <c r="V32" s="42" t="n">
        <f aca="false">(D32+E32)*Assumptions!$B$64*Assumptions!$B$65*Assumptions!$B$66/1000000</f>
        <v>3.65065057655707</v>
      </c>
    </row>
    <row r="33" customFormat="false" ht="15" hidden="false" customHeight="true" outlineLevel="0" collapsed="false">
      <c r="A33" s="5" t="n">
        <v>2054</v>
      </c>
      <c r="B33" s="41" t="n">
        <f aca="false">'Fleet projections'!E62*1000000</f>
        <v>43574926.9863578</v>
      </c>
      <c r="C33" s="41" t="n">
        <f aca="false">'Fleet projections'!C230*1000000*'EV adoption'!B48</f>
        <v>15579031.642616</v>
      </c>
      <c r="D33" s="41" t="n">
        <f aca="false">'Fleet projections'!D230*1000000*'EV adoption'!C48</f>
        <v>16338479.2857004</v>
      </c>
      <c r="E33" s="41" t="n">
        <f aca="false">'Fleet projections'!E230*1000000*'EV adoption'!D48</f>
        <v>2651789.12440257</v>
      </c>
      <c r="F33" s="41" t="n">
        <f aca="false">'Fleet projections'!F230*1000000*'EV adoption'!E48</f>
        <v>1305020.17956476</v>
      </c>
      <c r="G33" s="41" t="n">
        <f aca="false">'Fleet projections'!G230*1000000*'EV adoption'!F48</f>
        <v>28019.6843791626</v>
      </c>
      <c r="H33" s="41" t="n">
        <f aca="false">'Fleet projections'!H230*1000000*'EV adoption'!G48</f>
        <v>23962.0915059412</v>
      </c>
      <c r="I33" s="41" t="n">
        <f aca="false">SUM(C33:H33)</f>
        <v>35926302.0081689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183.872388250998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103.71310871281</v>
      </c>
      <c r="L33" s="41" t="n">
        <f aca="false">((D33*Assumptions!$D$7+E33*Assumptions!$D$8)*Assumptions!$B$51+C33*Assumptions!$D$6*Assumptions!$B$56)/Assumptions!$B$52</f>
        <v>12921165.7374287</v>
      </c>
      <c r="M33" s="41" t="n">
        <f aca="false">(D33*Assumptions!$D$7+E33*Assumptions!$D$8)*(1-Assumptions!$B$51)/Assumptions!$B$26</f>
        <v>1832732.11290023</v>
      </c>
      <c r="N33" s="41" t="n">
        <f aca="false">(D33*(1-Assumptions!$D$7)+E33*(1-Assumptions!$D$8))/Assumptions!$B$27</f>
        <v>971611.663208502</v>
      </c>
      <c r="O33" s="41" t="n">
        <f aca="false">(D33+E33)/Assumptions!$B$28</f>
        <v>316504.473501716</v>
      </c>
      <c r="P33" s="41" t="n">
        <f aca="false">(F33+G33+H33)/Assumptions!$B$29</f>
        <v>542800.782179946</v>
      </c>
      <c r="Q33" s="41" t="n">
        <f aca="false">C33*(1-Assumptions!$D$6)/Assumptions!$B$30</f>
        <v>31158.0632852321</v>
      </c>
      <c r="R33" s="42" t="n">
        <f aca="false">(L33*Assumptions!$B$53+M33*Assumptions!$B$35+N33*Assumptions!$B$36+O33*Assumptions!$B$37+P33*Assumptions!$B$38+Q33*Assumptions!$B$39)/1000000000</f>
        <v>85.1283301422038</v>
      </c>
      <c r="S33" s="42" t="n">
        <f aca="false">K33*1000000*Assumptions!$B$43/1000000000</f>
        <v>46.6708989207646</v>
      </c>
      <c r="T33" s="42" t="n">
        <f aca="false">R33+S33</f>
        <v>131.799229062968</v>
      </c>
      <c r="U33" s="42" t="n">
        <f aca="false">J33*Assumptions!$B$59*1000/8760/'Load profile'!AM75</f>
        <v>39.3239641926969</v>
      </c>
      <c r="V33" s="42" t="n">
        <f aca="false">(D33+E33)*Assumptions!$B$64*Assumptions!$B$65*Assumptions!$B$66/1000000</f>
        <v>3.98795636612162</v>
      </c>
    </row>
    <row r="34" customFormat="false" ht="15" hidden="false" customHeight="true" outlineLevel="0" collapsed="false">
      <c r="A34" s="5" t="n">
        <v>2055</v>
      </c>
      <c r="B34" s="41" t="n">
        <f aca="false">'Fleet projections'!E63*1000000</f>
        <v>45020790.0383723</v>
      </c>
      <c r="C34" s="41" t="n">
        <f aca="false">'Fleet projections'!C231*1000000*'EV adoption'!B49</f>
        <v>16495071.722142</v>
      </c>
      <c r="D34" s="41" t="n">
        <f aca="false">'Fleet projections'!D231*1000000*'EV adoption'!C49</f>
        <v>17649782.6304046</v>
      </c>
      <c r="E34" s="41" t="n">
        <f aca="false">'Fleet projections'!E231*1000000*'EV adoption'!D49</f>
        <v>2884612.78350058</v>
      </c>
      <c r="F34" s="41" t="n">
        <f aca="false">'Fleet projections'!F231*1000000*'EV adoption'!E49</f>
        <v>1470091.70067899</v>
      </c>
      <c r="G34" s="41" t="n">
        <f aca="false">'Fleet projections'!G231*1000000*'EV adoption'!F49</f>
        <v>30032.3452438243</v>
      </c>
      <c r="H34" s="41" t="n">
        <f aca="false">'Fleet projections'!H231*1000000*'EV adoption'!G49</f>
        <v>26278.6363768467</v>
      </c>
      <c r="I34" s="41" t="n">
        <f aca="false">SUM(C34:H34)</f>
        <v>38555869.8183468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201.448898118922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115.162968963261</v>
      </c>
      <c r="L34" s="41" t="n">
        <f aca="false">((D34*Assumptions!$D$7+E34*Assumptions!$D$8)*Assumptions!$B$51+C34*Assumptions!$D$6*Assumptions!$B$56)/Assumptions!$B$52</f>
        <v>13795243.6821194</v>
      </c>
      <c r="M34" s="41" t="n">
        <f aca="false">(D34*Assumptions!$D$7+E34*Assumptions!$D$8)*(1-Assumptions!$B$51)/Assumptions!$B$26</f>
        <v>1981324.221803</v>
      </c>
      <c r="N34" s="41" t="n">
        <f aca="false">(D34*(1-Assumptions!$D$7)+E34*(1-Assumptions!$D$8))/Assumptions!$B$27</f>
        <v>1050758.21055776</v>
      </c>
      <c r="O34" s="41" t="n">
        <f aca="false">(D34+E34)/Assumptions!$B$28</f>
        <v>342239.923565086</v>
      </c>
      <c r="P34" s="41" t="n">
        <f aca="false">(F34+G34+H34)/Assumptions!$B$29</f>
        <v>610561.072919863</v>
      </c>
      <c r="Q34" s="41" t="n">
        <f aca="false">C34*(1-Assumptions!$D$6)/Assumptions!$B$30</f>
        <v>32990.1434442839</v>
      </c>
      <c r="R34" s="42" t="n">
        <f aca="false">(L34*Assumptions!$B$53+M34*Assumptions!$B$35+N34*Assumptions!$B$36+O34*Assumptions!$B$37+P34*Assumptions!$B$38+Q34*Assumptions!$B$39)/1000000000</f>
        <v>93.7776424269635</v>
      </c>
      <c r="S34" s="42" t="n">
        <f aca="false">K34*1000000*Assumptions!$B$43/1000000000</f>
        <v>51.8233360334674</v>
      </c>
      <c r="T34" s="42" t="n">
        <f aca="false">R34+S34</f>
        <v>145.600978460431</v>
      </c>
      <c r="U34" s="42" t="n">
        <f aca="false">J34*Assumptions!$B$59*1000/8760/'Load profile'!AN75</f>
        <v>43.5163434067865</v>
      </c>
      <c r="V34" s="42" t="n">
        <f aca="false">(D34+E34)*Assumptions!$B$64*Assumptions!$B$65*Assumptions!$B$66/1000000</f>
        <v>4.31222303692008</v>
      </c>
    </row>
    <row r="35" customFormat="false" ht="15" hidden="false" customHeight="true" outlineLevel="0" collapsed="false">
      <c r="A35" s="5" t="n">
        <v>2056</v>
      </c>
      <c r="B35" s="41" t="n">
        <f aca="false">'Fleet projections'!E64*1000000</f>
        <v>46505386.1737077</v>
      </c>
      <c r="C35" s="41" t="n">
        <f aca="false">'Fleet projections'!C232*1000000*'EV adoption'!B50</f>
        <v>17364754.4027469</v>
      </c>
      <c r="D35" s="41" t="n">
        <f aca="false">'Fleet projections'!D232*1000000*'EV adoption'!C50</f>
        <v>18899809.2981267</v>
      </c>
      <c r="E35" s="41" t="n">
        <f aca="false">'Fleet projections'!E232*1000000*'EV adoption'!D50</f>
        <v>3111197.72100805</v>
      </c>
      <c r="F35" s="41" t="n">
        <f aca="false">'Fleet projections'!F232*1000000*'EV adoption'!E50</f>
        <v>1639688.37685982</v>
      </c>
      <c r="G35" s="41" t="n">
        <f aca="false">'Fleet projections'!G232*1000000*'EV adoption'!F50</f>
        <v>31970.0485321465</v>
      </c>
      <c r="H35" s="41" t="n">
        <f aca="false">'Fleet projections'!H232*1000000*'EV adoption'!G50</f>
        <v>28553.4194042499</v>
      </c>
      <c r="I35" s="41" t="n">
        <f aca="false">SUM(C35:H35)</f>
        <v>41075973.2666778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218.813461527922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126.747022623291</v>
      </c>
      <c r="L35" s="41" t="n">
        <f aca="false">((D35*Assumptions!$D$7+E35*Assumptions!$D$8)*Assumptions!$B$51+C35*Assumptions!$D$6*Assumptions!$B$56)/Assumptions!$B$52</f>
        <v>14627675.3262606</v>
      </c>
      <c r="M35" s="41" t="n">
        <f aca="false">(D35*Assumptions!$D$7+E35*Assumptions!$D$8)*(1-Assumptions!$B$51)/Assumptions!$B$26</f>
        <v>2123320.75888827</v>
      </c>
      <c r="N35" s="41" t="n">
        <f aca="false">(D35*(1-Assumptions!$D$7)+E35*(1-Assumptions!$D$8))/Assumptions!$B$27</f>
        <v>1126476.9986318</v>
      </c>
      <c r="O35" s="41" t="n">
        <f aca="false">(D35+E35)/Assumptions!$B$28</f>
        <v>366850.116985579</v>
      </c>
      <c r="P35" s="41" t="n">
        <f aca="false">(F35+G35+H35)/Assumptions!$B$29</f>
        <v>680084.737918486</v>
      </c>
      <c r="Q35" s="41" t="n">
        <f aca="false">C35*(1-Assumptions!$D$6)/Assumptions!$B$30</f>
        <v>34729.5088054938</v>
      </c>
      <c r="R35" s="42" t="n">
        <f aca="false">(L35*Assumptions!$B$53+M35*Assumptions!$B$35+N35*Assumptions!$B$36+O35*Assumptions!$B$37+P35*Assumptions!$B$38+Q35*Assumptions!$B$39)/1000000000</f>
        <v>102.44542693526</v>
      </c>
      <c r="S35" s="42" t="n">
        <f aca="false">K35*1000000*Assumptions!$B$43/1000000000</f>
        <v>57.0361601804809</v>
      </c>
      <c r="T35" s="42" t="n">
        <f aca="false">R35+S35</f>
        <v>159.481587115741</v>
      </c>
      <c r="U35" s="42" t="n">
        <f aca="false">J35*Assumptions!$B$59*1000/8760/'Load profile'!AO75</f>
        <v>47.7278157428337</v>
      </c>
      <c r="V35" s="42" t="n">
        <f aca="false">(D35+E35)*Assumptions!$B$64*Assumptions!$B$65*Assumptions!$B$66/1000000</f>
        <v>4.62231147401829</v>
      </c>
    </row>
    <row r="36" customFormat="false" ht="15" hidden="false" customHeight="true" outlineLevel="0" collapsed="false">
      <c r="A36" s="5" t="n">
        <v>2057</v>
      </c>
      <c r="B36" s="41" t="n">
        <f aca="false">'Fleet projections'!E65*1000000</f>
        <v>48029391.0593714</v>
      </c>
      <c r="C36" s="41" t="n">
        <f aca="false">'Fleet projections'!C233*1000000*'EV adoption'!B51</f>
        <v>18196993.1232885</v>
      </c>
      <c r="D36" s="41" t="n">
        <f aca="false">'Fleet projections'!D233*1000000*'EV adoption'!C51</f>
        <v>20090153.1099715</v>
      </c>
      <c r="E36" s="41" t="n">
        <f aca="false">'Fleet projections'!E233*1000000*'EV adoption'!D51</f>
        <v>3330606.6833355</v>
      </c>
      <c r="F36" s="41" t="n">
        <f aca="false">'Fleet projections'!F233*1000000*'EV adoption'!E51</f>
        <v>1811602.99278284</v>
      </c>
      <c r="G36" s="41" t="n">
        <f aca="false">'Fleet projections'!G233*1000000*'EV adoption'!F51</f>
        <v>33836.2416264885</v>
      </c>
      <c r="H36" s="41" t="n">
        <f aca="false">'Fleet projections'!H233*1000000*'EV adoption'!G51</f>
        <v>30770.1731634455</v>
      </c>
      <c r="I36" s="41" t="n">
        <f aca="false">SUM(C36:H36)</f>
        <v>43493962.3241682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235.869569061588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138.350575943573</v>
      </c>
      <c r="L36" s="41" t="n">
        <f aca="false">((D36*Assumptions!$D$7+E36*Assumptions!$D$8)*Assumptions!$B$51+C36*Assumptions!$D$6*Assumptions!$B$56)/Assumptions!$B$52</f>
        <v>15423166.8359367</v>
      </c>
      <c r="M36" s="41" t="n">
        <f aca="false">(D36*Assumptions!$D$7+E36*Assumptions!$D$8)*(1-Assumptions!$B$51)/Assumptions!$B$26</f>
        <v>2258810.81224731</v>
      </c>
      <c r="N36" s="41" t="n">
        <f aca="false">(D36*(1-Assumptions!$D$7)+E36*(1-Assumptions!$D$8))/Assumptions!$B$27</f>
        <v>1198793.04535981</v>
      </c>
      <c r="O36" s="41" t="n">
        <f aca="false">(D36+E36)/Assumptions!$B$28</f>
        <v>390345.996555116</v>
      </c>
      <c r="P36" s="41" t="n">
        <f aca="false">(F36+G36+H36)/Assumptions!$B$29</f>
        <v>750483.763029109</v>
      </c>
      <c r="Q36" s="41" t="n">
        <f aca="false">C36*(1-Assumptions!$D$6)/Assumptions!$B$30</f>
        <v>36393.9862465769</v>
      </c>
      <c r="R36" s="42" t="n">
        <f aca="false">(L36*Assumptions!$B$53+M36*Assumptions!$B$35+N36*Assumptions!$B$36+O36*Assumptions!$B$37+P36*Assumptions!$B$38+Q36*Assumptions!$B$39)/1000000000</f>
        <v>111.064256189345</v>
      </c>
      <c r="S36" s="42" t="n">
        <f aca="false">K36*1000000*Assumptions!$B$43/1000000000</f>
        <v>62.2577591746079</v>
      </c>
      <c r="T36" s="42" t="n">
        <f aca="false">R36+S36</f>
        <v>173.322015363953</v>
      </c>
      <c r="U36" s="42" t="n">
        <f aca="false">J36*Assumptions!$B$59*1000/8760/'Load profile'!AP75</f>
        <v>51.9214042714624</v>
      </c>
      <c r="V36" s="42" t="n">
        <f aca="false">(D36+E36)*Assumptions!$B$64*Assumptions!$B$65*Assumptions!$B$66/1000000</f>
        <v>4.91835955659447</v>
      </c>
    </row>
    <row r="37" customFormat="false" ht="15" hidden="false" customHeight="true" outlineLevel="0" collapsed="false">
      <c r="A37" s="5" t="n">
        <v>2058</v>
      </c>
      <c r="B37" s="41" t="n">
        <f aca="false">'Fleet projections'!E66*1000000</f>
        <v>49593478.8662941</v>
      </c>
      <c r="C37" s="41" t="n">
        <f aca="false">'Fleet projections'!C234*1000000*'EV adoption'!B52</f>
        <v>19000537.1754841</v>
      </c>
      <c r="D37" s="41" t="n">
        <f aca="false">'Fleet projections'!D234*1000000*'EV adoption'!C52</f>
        <v>21226034.4328018</v>
      </c>
      <c r="E37" s="41" t="n">
        <f aca="false">'Fleet projections'!E234*1000000*'EV adoption'!D52</f>
        <v>3542576.06851849</v>
      </c>
      <c r="F37" s="41" t="n">
        <f aca="false">'Fleet projections'!F234*1000000*'EV adoption'!E52</f>
        <v>1983837.27175391</v>
      </c>
      <c r="G37" s="41" t="n">
        <f aca="false">'Fleet projections'!G234*1000000*'EV adoption'!F52</f>
        <v>35637.9744726185</v>
      </c>
      <c r="H37" s="41" t="n">
        <f aca="false">'Fleet projections'!H234*1000000*'EV adoption'!G52</f>
        <v>32919.8765462216</v>
      </c>
      <c r="I37" s="41" t="n">
        <f aca="false">SUM(C37:H37)</f>
        <v>45821542.7995772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252.556221149739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149.875882597345</v>
      </c>
      <c r="L37" s="41" t="n">
        <f aca="false">((D37*Assumptions!$D$7+E37*Assumptions!$D$8)*Assumptions!$B$51+C37*Assumptions!$D$6*Assumptions!$B$56)/Assumptions!$B$52</f>
        <v>16187499.2033154</v>
      </c>
      <c r="M37" s="41" t="n">
        <f aca="false">(D37*Assumptions!$D$7+E37*Assumptions!$D$8)*(1-Assumptions!$B$51)/Assumptions!$B$26</f>
        <v>2388296.64841907</v>
      </c>
      <c r="N37" s="41" t="n">
        <f aca="false">(D37*(1-Assumptions!$D$7)+E37*(1-Assumptions!$D$8))/Assumptions!$B$27</f>
        <v>1267951.99230367</v>
      </c>
      <c r="O37" s="41" t="n">
        <f aca="false">(D37+E37)/Assumptions!$B$28</f>
        <v>412810.175022005</v>
      </c>
      <c r="P37" s="41" t="n">
        <f aca="false">(F37+G37+H37)/Assumptions!$B$29</f>
        <v>820958.049109101</v>
      </c>
      <c r="Q37" s="41" t="n">
        <f aca="false">C37*(1-Assumptions!$D$6)/Assumptions!$B$30</f>
        <v>38001.0743509682</v>
      </c>
      <c r="R37" s="42" t="n">
        <f aca="false">(L37*Assumptions!$B$53+M37*Assumptions!$B$35+N37*Assumptions!$B$36+O37*Assumptions!$B$37+P37*Assumptions!$B$38+Q37*Assumptions!$B$39)/1000000000</f>
        <v>119.580050594285</v>
      </c>
      <c r="S37" s="42" t="n">
        <f aca="false">K37*1000000*Assumptions!$B$43/1000000000</f>
        <v>67.4441471688052</v>
      </c>
      <c r="T37" s="42" t="n">
        <f aca="false">R37+S37</f>
        <v>187.02419776309</v>
      </c>
      <c r="U37" s="42" t="n">
        <f aca="false">J37*Assumptions!$B$59*1000/8760/'Load profile'!AQ75</f>
        <v>56.0672895609007</v>
      </c>
      <c r="V37" s="42" t="n">
        <f aca="false">(D37+E37)*Assumptions!$B$64*Assumptions!$B$65*Assumptions!$B$66/1000000</f>
        <v>5.20140820527726</v>
      </c>
    </row>
    <row r="38" customFormat="false" ht="15" hidden="false" customHeight="true" outlineLevel="0" collapsed="false">
      <c r="A38" s="5" t="n">
        <v>2059</v>
      </c>
      <c r="B38" s="41" t="n">
        <f aca="false">'Fleet projections'!E67*1000000</f>
        <v>51198320.6127984</v>
      </c>
      <c r="C38" s="41" t="n">
        <f aca="false">'Fleet projections'!C235*1000000*'EV adoption'!B53</f>
        <v>19783430.7333318</v>
      </c>
      <c r="D38" s="41" t="n">
        <f aca="false">'Fleet projections'!D235*1000000*'EV adoption'!C53</f>
        <v>22314795.3349903</v>
      </c>
      <c r="E38" s="41" t="n">
        <f aca="false">'Fleet projections'!E235*1000000*'EV adoption'!D53</f>
        <v>3747365.48237422</v>
      </c>
      <c r="F38" s="41" t="n">
        <f aca="false">'Fleet projections'!F235*1000000*'EV adoption'!E53</f>
        <v>2154721.62580813</v>
      </c>
      <c r="G38" s="41" t="n">
        <f aca="false">'Fleet projections'!G235*1000000*'EV adoption'!F53</f>
        <v>37384.4212218985</v>
      </c>
      <c r="H38" s="41" t="n">
        <f aca="false">'Fleet projections'!H235*1000000*'EV adoption'!G53</f>
        <v>34999.7458874636</v>
      </c>
      <c r="I38" s="41" t="n">
        <f aca="false">SUM(C38:H38)</f>
        <v>48072697.3436137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268.843473585561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161.246221532512</v>
      </c>
      <c r="L38" s="41" t="n">
        <f aca="false">((D38*Assumptions!$D$7+E38*Assumptions!$D$8)*Assumptions!$B$51+C38*Assumptions!$D$6*Assumptions!$B$56)/Assumptions!$B$52</f>
        <v>16926804.8117617</v>
      </c>
      <c r="M38" s="41" t="n">
        <f aca="false">(D38*Assumptions!$D$7+E38*Assumptions!$D$8)*(1-Assumptions!$B$51)/Assumptions!$B$26</f>
        <v>2512531.94467709</v>
      </c>
      <c r="N38" s="41" t="n">
        <f aca="false">(D38*(1-Assumptions!$D$7)+E38*(1-Assumptions!$D$8))/Assumptions!$B$27</f>
        <v>1334336.08655468</v>
      </c>
      <c r="O38" s="41" t="n">
        <f aca="false">(D38+E38)/Assumptions!$B$28</f>
        <v>434369.346956075</v>
      </c>
      <c r="P38" s="41" t="n">
        <f aca="false">(F38+G38+H38)/Assumptions!$B$29</f>
        <v>890842.317166996</v>
      </c>
      <c r="Q38" s="41" t="n">
        <f aca="false">C38*(1-Assumptions!$D$6)/Assumptions!$B$30</f>
        <v>39566.8614666635</v>
      </c>
      <c r="R38" s="42" t="n">
        <f aca="false">(L38*Assumptions!$B$53+M38*Assumptions!$B$35+N38*Assumptions!$B$36+O38*Assumptions!$B$37+P38*Assumptions!$B$38+Q38*Assumptions!$B$39)/1000000000</f>
        <v>127.95331991053</v>
      </c>
      <c r="S38" s="42" t="n">
        <f aca="false">K38*1000000*Assumptions!$B$43/1000000000</f>
        <v>72.5607996896302</v>
      </c>
      <c r="T38" s="42" t="n">
        <f aca="false">R38+S38</f>
        <v>200.51411960016</v>
      </c>
      <c r="U38" s="42" t="n">
        <f aca="false">J38*Assumptions!$B$59*1000/8760/'Load profile'!AR75</f>
        <v>60.1434716882712</v>
      </c>
      <c r="V38" s="42" t="n">
        <f aca="false">(D38+E38)*Assumptions!$B$64*Assumptions!$B$65*Assumptions!$B$66/1000000</f>
        <v>5.47305377164654</v>
      </c>
    </row>
    <row r="39" customFormat="false" ht="15" hidden="false" customHeight="true" outlineLevel="0" collapsed="false">
      <c r="A39" s="5" t="n">
        <v>2060</v>
      </c>
      <c r="B39" s="41" t="n">
        <f aca="false">'Fleet projections'!E68*1000000</f>
        <v>52844584.5516687</v>
      </c>
      <c r="C39" s="41" t="n">
        <f aca="false">'Fleet projections'!C236*1000000*'EV adoption'!B54</f>
        <v>20552762.0471021</v>
      </c>
      <c r="D39" s="41" t="n">
        <f aca="false">'Fleet projections'!D236*1000000*'EV adoption'!C54</f>
        <v>23364714.7301996</v>
      </c>
      <c r="E39" s="41" t="n">
        <f aca="false">'Fleet projections'!E236*1000000*'EV adoption'!D54</f>
        <v>3945602.72583681</v>
      </c>
      <c r="F39" s="41" t="n">
        <f aca="false">'Fleet projections'!F236*1000000*'EV adoption'!E54</f>
        <v>2322981.73317014</v>
      </c>
      <c r="G39" s="41" t="n">
        <f aca="false">'Fleet projections'!G236*1000000*'EV adoption'!F54</f>
        <v>39085.7190302459</v>
      </c>
      <c r="H39" s="41" t="n">
        <f aca="false">'Fleet projections'!H236*1000000*'EV adoption'!G54</f>
        <v>37011.8882180008</v>
      </c>
      <c r="I39" s="41" t="n">
        <f aca="false">SUM(C39:H39)</f>
        <v>50262158.8435568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284.727489834321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172.407624622827</v>
      </c>
      <c r="L39" s="41" t="n">
        <f aca="false">((D39*Assumptions!$D$7+E39*Assumptions!$D$8)*Assumptions!$B$51+C39*Assumptions!$D$6*Assumptions!$B$56)/Assumptions!$B$52</f>
        <v>17647077.7204327</v>
      </c>
      <c r="M39" s="41" t="n">
        <f aca="false">(D39*Assumptions!$D$7+E39*Assumptions!$D$8)*(1-Assumptions!$B$51)/Assumptions!$B$26</f>
        <v>2632391.67745772</v>
      </c>
      <c r="N39" s="41" t="n">
        <f aca="false">(D39*(1-Assumptions!$D$7)+E39*(1-Assumptions!$D$8))/Assumptions!$B$27</f>
        <v>1398395.89551713</v>
      </c>
      <c r="O39" s="41" t="n">
        <f aca="false">(D39+E39)/Assumptions!$B$28</f>
        <v>455171.957600606</v>
      </c>
      <c r="P39" s="41" t="n">
        <f aca="false">(F39+G39+H39)/Assumptions!$B$29</f>
        <v>959631.736167354</v>
      </c>
      <c r="Q39" s="41" t="n">
        <f aca="false">C39*(1-Assumptions!$D$6)/Assumptions!$B$30</f>
        <v>41105.5240942042</v>
      </c>
      <c r="R39" s="42" t="n">
        <f aca="false">(L39*Assumptions!$B$53+M39*Assumptions!$B$35+N39*Assumptions!$B$36+O39*Assumptions!$B$37+P39*Assumptions!$B$38+Q39*Assumptions!$B$39)/1000000000</f>
        <v>136.159269160847</v>
      </c>
      <c r="S39" s="42" t="n">
        <f aca="false">K39*1000000*Assumptions!$B$43/1000000000</f>
        <v>77.5834310802722</v>
      </c>
      <c r="T39" s="42" t="n">
        <f aca="false">R39+S39</f>
        <v>213.742700241119</v>
      </c>
      <c r="U39" s="42" t="n">
        <f aca="false">J39*Assumptions!$B$59*1000/8760/'Load profile'!AS75</f>
        <v>64.1357945390578</v>
      </c>
      <c r="V39" s="42" t="n">
        <f aca="false">(D39+E39)*Assumptions!$B$64*Assumptions!$B$65*Assumptions!$B$66/1000000</f>
        <v>5.73516666576764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44" t="s">
        <v>282</v>
      </c>
    </row>
    <row r="2" customFormat="false" ht="54" hidden="false" customHeight="true" outlineLevel="0" collapsed="false">
      <c r="A2" s="69" t="s">
        <v>283</v>
      </c>
      <c r="B2" s="69"/>
      <c r="C2" s="69"/>
      <c r="D2" s="69"/>
      <c r="E2" s="69"/>
      <c r="F2" s="69"/>
      <c r="G2" s="69"/>
      <c r="H2" s="69"/>
      <c r="I2" s="69"/>
      <c r="J2" s="69"/>
    </row>
    <row r="4" customFormat="false" ht="15" hidden="false" customHeight="true" outlineLevel="0" collapsed="false">
      <c r="A4" s="45" t="s">
        <v>284</v>
      </c>
      <c r="B4" s="45"/>
      <c r="C4" s="45"/>
      <c r="D4" s="45"/>
      <c r="E4" s="45"/>
      <c r="F4" s="45"/>
      <c r="G4" s="45"/>
      <c r="H4" s="45"/>
      <c r="I4" s="45"/>
      <c r="J4" s="45"/>
    </row>
    <row r="5" customFormat="false" ht="15" hidden="false" customHeight="true" outlineLevel="0" collapsed="false">
      <c r="A5" s="46" t="s">
        <v>285</v>
      </c>
      <c r="B5" s="46" t="s">
        <v>286</v>
      </c>
      <c r="C5" s="46" t="s">
        <v>287</v>
      </c>
      <c r="D5" s="46" t="s">
        <v>288</v>
      </c>
      <c r="E5" s="46" t="s">
        <v>289</v>
      </c>
      <c r="F5" s="46" t="s">
        <v>290</v>
      </c>
      <c r="G5" s="46" t="s">
        <v>291</v>
      </c>
      <c r="L5" s="5" t="n">
        <f aca="false">'Results Scenario A'!C39*Assumptions!$B$6*Assumptions!$C$6*Assumptions!$B$61/1000000000</f>
        <v>32.9052066319184</v>
      </c>
      <c r="M5" s="5" t="n">
        <f aca="false">'Results Scenario A'!D39*Assumptions!$B$7*Assumptions!$C$7*Assumptions!$B$61/1000000000</f>
        <v>422.751271745299</v>
      </c>
      <c r="N5" s="5" t="n">
        <f aca="false">'Results Scenario A'!E39*Assumptions!$B$8*Assumptions!$C$8*Assumptions!$B$61/1000000000</f>
        <v>58.5592375651552</v>
      </c>
      <c r="O5" s="5" t="n">
        <f aca="false">'Results Scenario A'!F39*Assumptions!$B$9*Assumptions!$C$9*Assumptions!$B$61/1000000000</f>
        <v>333.281498578413</v>
      </c>
      <c r="P5" s="5" t="n">
        <f aca="false">'Results Scenario A'!G39*Assumptions!$B$10*Assumptions!$C$10*Assumptions!$B$61/1000000000</f>
        <v>1.91744129619118</v>
      </c>
      <c r="Q5" s="5" t="n">
        <f aca="false">'Results Scenario A'!H39*Assumptions!$B$11*Assumptions!$C$11*Assumptions!$B$61/1000000000</f>
        <v>6.03618778414153</v>
      </c>
      <c r="R5" s="5" t="n">
        <f aca="false">'Results Scenario A'!C39*Assumptions!$D$6*Assumptions!$B$88*Assumptions!$C$6*Assumptions!$B$61/1000000000</f>
        <v>7.73260240530998</v>
      </c>
      <c r="S5" s="5" t="n">
        <f aca="false">'Results Scenario A'!C39*(1-Assumptions!$D$6)*Assumptions!$B$89*Assumptions!$C$6*Assumptions!$B$61/1000000000</f>
        <v>25.1726042266084</v>
      </c>
    </row>
    <row r="6" customFormat="false" ht="15" hidden="false" customHeight="true" outlineLevel="0" collapsed="false">
      <c r="A6" s="5" t="s">
        <v>270</v>
      </c>
      <c r="B6" s="41" t="n">
        <f aca="false">'Results Scenario A'!L39</f>
        <v>53019845.5084998</v>
      </c>
      <c r="C6" s="42" t="n">
        <f aca="false">Assumptions!$B$54</f>
        <v>2.3</v>
      </c>
      <c r="D6" s="70" t="n">
        <f aca="false">Assumptions!$B$75</f>
        <v>0.35</v>
      </c>
      <c r="E6" s="42" t="n">
        <f aca="false">B6*C6*8760*D6/1000000000</f>
        <v>373.885346556839</v>
      </c>
      <c r="F6" s="42" t="n">
        <f aca="false">($M$5*Assumptions!$D$7+$N$5*Assumptions!$D$8)*Assumptions!$B$51+$R$5</f>
        <v>138.400398382676</v>
      </c>
      <c r="G6" s="53" t="n">
        <f aca="false">E6/F6</f>
        <v>2.70147594173138</v>
      </c>
    </row>
    <row r="7" customFormat="false" ht="15" hidden="false" customHeight="true" outlineLevel="0" collapsed="false">
      <c r="A7" s="5" t="s">
        <v>271</v>
      </c>
      <c r="B7" s="41" t="n">
        <f aca="false">'Results Scenario A'!M39</f>
        <v>7908901.53416556</v>
      </c>
      <c r="C7" s="42" t="n">
        <f aca="false">Assumptions!$C$35</f>
        <v>7.4</v>
      </c>
      <c r="D7" s="70" t="n">
        <f aca="false">Assumptions!$B$76</f>
        <v>0.3</v>
      </c>
      <c r="E7" s="42" t="n">
        <f aca="false">B7*C7*8760*D7/1000000000</f>
        <v>153.805989915225</v>
      </c>
      <c r="F7" s="42" t="n">
        <f aca="false">($M$5*Assumptions!$D$7+$N$5*Assumptions!$D$8)*(1-Assumptions!$B$51)</f>
        <v>56.0004839902998</v>
      </c>
      <c r="G7" s="53" t="n">
        <f aca="false">E7/F7</f>
        <v>2.74651179696708</v>
      </c>
    </row>
    <row r="8" customFormat="false" ht="15" hidden="false" customHeight="true" outlineLevel="0" collapsed="false">
      <c r="A8" s="5" t="s">
        <v>36</v>
      </c>
      <c r="B8" s="41" t="n">
        <f aca="false">'Results Scenario A'!N39</f>
        <v>4201417.11362171</v>
      </c>
      <c r="C8" s="42" t="n">
        <f aca="false">Assumptions!$C$36</f>
        <v>22</v>
      </c>
      <c r="D8" s="70" t="n">
        <f aca="false">Assumptions!$B$77</f>
        <v>0.25</v>
      </c>
      <c r="E8" s="42" t="n">
        <f aca="false">B8*C8*8760*D8/1000000000</f>
        <v>202.424276534294</v>
      </c>
      <c r="F8" s="42" t="n">
        <f aca="false">($M$5*(1-Assumptions!$D$7)+$N$5*(1-Assumptions!$D$8))*0.6</f>
        <v>176.785337605673</v>
      </c>
      <c r="G8" s="53" t="n">
        <f aca="false">E8/F8</f>
        <v>1.1450286504292</v>
      </c>
    </row>
    <row r="9" customFormat="false" ht="15" hidden="false" customHeight="true" outlineLevel="0" collapsed="false">
      <c r="A9" s="5" t="s">
        <v>37</v>
      </c>
      <c r="B9" s="41" t="n">
        <f aca="false">'Results Scenario A'!O39</f>
        <v>1367543.52500205</v>
      </c>
      <c r="C9" s="42" t="n">
        <f aca="false">Assumptions!$C$37</f>
        <v>100</v>
      </c>
      <c r="D9" s="70" t="n">
        <f aca="false">Assumptions!$B$78</f>
        <v>0.3</v>
      </c>
      <c r="E9" s="42" t="n">
        <f aca="false">B9*C9*8760*D9/1000000000</f>
        <v>359.390438370538</v>
      </c>
      <c r="F9" s="42" t="n">
        <f aca="false">($M$5*(1-Assumptions!$D$7)+$N$5*(1-Assumptions!$D$8))*0.4</f>
        <v>117.856891737115</v>
      </c>
      <c r="G9" s="53" t="n">
        <f aca="false">E9/F9</f>
        <v>3.04937991383799</v>
      </c>
    </row>
    <row r="10" customFormat="false" ht="15" hidden="false" customHeight="true" outlineLevel="0" collapsed="false">
      <c r="A10" s="5" t="s">
        <v>38</v>
      </c>
      <c r="B10" s="41" t="n">
        <f aca="false">'Results Scenario A'!P39</f>
        <v>2883170.07510743</v>
      </c>
      <c r="C10" s="42" t="n">
        <f aca="false">Assumptions!$C$38</f>
        <v>250</v>
      </c>
      <c r="D10" s="70" t="n">
        <f aca="false">Assumptions!$B$79</f>
        <v>0.4</v>
      </c>
      <c r="E10" s="42" t="n">
        <f aca="false">B10*C10*8760*D10/1000000000</f>
        <v>2525.65698579411</v>
      </c>
      <c r="F10" s="42" t="n">
        <f aca="false">$O$5+$P$5+$Q$5</f>
        <v>341.235127658746</v>
      </c>
      <c r="G10" s="53" t="n">
        <f aca="false">E10/F10</f>
        <v>7.40151520484698</v>
      </c>
    </row>
    <row r="11" customFormat="false" ht="41.25" hidden="false" customHeight="true" outlineLevel="0" collapsed="false">
      <c r="A11" s="5" t="s">
        <v>292</v>
      </c>
      <c r="B11" s="41" t="n">
        <f aca="false">'Results Scenario A'!Q39</f>
        <v>123499.684851345</v>
      </c>
      <c r="C11" s="42" t="n">
        <f aca="false">Assumptions!$B$69</f>
        <v>3.24</v>
      </c>
      <c r="D11" s="70" t="n">
        <f aca="false">Assumptions!$B$72</f>
        <v>900</v>
      </c>
      <c r="E11" s="42" t="n">
        <f aca="false">B11*D11*C11*Assumptions!$B$71/1000000000</f>
        <v>131.44565457468</v>
      </c>
      <c r="F11" s="42" t="n">
        <f aca="false">$S$5</f>
        <v>25.1726042266084</v>
      </c>
      <c r="G11" s="53" t="n">
        <f aca="false">E11/F11</f>
        <v>5.22177417129283</v>
      </c>
      <c r="H11" s="50" t="s">
        <v>293</v>
      </c>
    </row>
    <row r="14" customFormat="false" ht="15" hidden="false" customHeight="true" outlineLevel="0" collapsed="false">
      <c r="A14" s="45" t="s">
        <v>294</v>
      </c>
      <c r="B14" s="45"/>
      <c r="C14" s="45"/>
      <c r="D14" s="45"/>
      <c r="E14" s="45"/>
      <c r="F14" s="45"/>
      <c r="G14" s="45"/>
      <c r="H14" s="45"/>
      <c r="I14" s="45"/>
      <c r="J14" s="45"/>
    </row>
    <row r="15" customFormat="false" ht="15" hidden="false" customHeight="true" outlineLevel="0" collapsed="false">
      <c r="A15" s="46" t="s">
        <v>285</v>
      </c>
      <c r="B15" s="46" t="s">
        <v>286</v>
      </c>
      <c r="C15" s="46" t="s">
        <v>287</v>
      </c>
      <c r="D15" s="46" t="s">
        <v>288</v>
      </c>
      <c r="E15" s="46" t="s">
        <v>289</v>
      </c>
      <c r="F15" s="46" t="s">
        <v>290</v>
      </c>
      <c r="G15" s="46" t="s">
        <v>291</v>
      </c>
      <c r="L15" s="5" t="n">
        <f aca="false">'Results Scenario B'!C39*Assumptions!$B$6*Assumptions!$C$6*Assumptions!$B$61/1000000000</f>
        <v>21.5590128001473</v>
      </c>
      <c r="M15" s="5" t="n">
        <f aca="false">'Results Scenario B'!D39*Assumptions!$B$7*Assumptions!$C$7*Assumptions!$B$61/1000000000</f>
        <v>276.980484601932</v>
      </c>
      <c r="N15" s="5" t="n">
        <f aca="false">'Results Scenario B'!E39*Assumptions!$B$8*Assumptions!$C$8*Assumptions!$B$61/1000000000</f>
        <v>38.3671607462094</v>
      </c>
      <c r="O15" s="5" t="n">
        <f aca="false">'Results Scenario B'!F39*Assumptions!$B$9*Assumptions!$C$9*Assumptions!$B$61/1000000000</f>
        <v>218.361190503346</v>
      </c>
      <c r="P15" s="5" t="n">
        <f aca="false">'Results Scenario B'!G39*Assumptions!$B$10*Assumptions!$C$10*Assumptions!$B$61/1000000000</f>
        <v>1.25627964931295</v>
      </c>
      <c r="Q15" s="5" t="n">
        <f aca="false">'Results Scenario B'!H39*Assumptions!$B$11*Assumptions!$C$11*Assumptions!$B$61/1000000000</f>
        <v>3.95482244369706</v>
      </c>
      <c r="R15" s="5" t="n">
        <f aca="false">'Results Scenario B'!C39*Assumptions!$D$6*Assumptions!$B$88*Assumptions!$C$6*Assumptions!$B$61/1000000000</f>
        <v>5.06628863022607</v>
      </c>
      <c r="S15" s="5" t="n">
        <f aca="false">'Results Scenario B'!C39*(1-Assumptions!$D$6)*Assumptions!$B$89*Assumptions!$C$6*Assumptions!$B$61/1000000000</f>
        <v>16.4927241699212</v>
      </c>
    </row>
    <row r="16" customFormat="false" ht="15" hidden="false" customHeight="true" outlineLevel="0" collapsed="false">
      <c r="A16" s="5" t="s">
        <v>270</v>
      </c>
      <c r="B16" s="41" t="n">
        <f aca="false">'Results Scenario B'!L39</f>
        <v>34737831.6375866</v>
      </c>
      <c r="C16" s="42" t="n">
        <f aca="false">Assumptions!$B$54</f>
        <v>2.3</v>
      </c>
      <c r="D16" s="70" t="n">
        <f aca="false">Assumptions!$B$75</f>
        <v>0.35</v>
      </c>
      <c r="E16" s="42" t="n">
        <f aca="false">B16*C16*8760*D16/1000000000</f>
        <v>244.964241141933</v>
      </c>
      <c r="F16" s="42" t="n">
        <f aca="false">($M$15*Assumptions!$D$7+$N$15*Assumptions!$D$8)*Assumptions!$B$51+$R$15</f>
        <v>90.6779280754709</v>
      </c>
      <c r="G16" s="53" t="n">
        <f aca="false">E16/F16</f>
        <v>2.70147594173138</v>
      </c>
    </row>
    <row r="17" customFormat="false" ht="15" hidden="false" customHeight="true" outlineLevel="0" collapsed="false">
      <c r="A17" s="5" t="s">
        <v>271</v>
      </c>
      <c r="B17" s="41" t="n">
        <f aca="false">'Results Scenario B'!M39</f>
        <v>5181797.25529471</v>
      </c>
      <c r="C17" s="42" t="n">
        <f aca="false">Assumptions!$C$35</f>
        <v>7.4</v>
      </c>
      <c r="D17" s="70" t="n">
        <f aca="false">Assumptions!$B$76</f>
        <v>0.3</v>
      </c>
      <c r="E17" s="42" t="n">
        <f aca="false">B17*C17*8760*D17/1000000000</f>
        <v>100.771447583167</v>
      </c>
      <c r="F17" s="42" t="n">
        <f aca="false">($M$15*Assumptions!$D$7+$N$15*Assumptions!$D$8)*(1-Assumptions!$B$51)</f>
        <v>36.6907026193907</v>
      </c>
      <c r="G17" s="53" t="n">
        <f aca="false">E17/F17</f>
        <v>2.74651179696708</v>
      </c>
    </row>
    <row r="18" customFormat="false" ht="15" hidden="false" customHeight="true" outlineLevel="0" collapsed="false">
      <c r="A18" s="5" t="s">
        <v>36</v>
      </c>
      <c r="B18" s="41" t="n">
        <f aca="false">'Results Scenario B'!N39</f>
        <v>2752707.38593285</v>
      </c>
      <c r="C18" s="42" t="n">
        <f aca="false">Assumptions!$C$36</f>
        <v>22</v>
      </c>
      <c r="D18" s="70" t="n">
        <f aca="false">Assumptions!$B$77</f>
        <v>0.25</v>
      </c>
      <c r="E18" s="42" t="n">
        <f aca="false">B18*C18*8760*D18/1000000000</f>
        <v>132.625441854245</v>
      </c>
      <c r="F18" s="42" t="n">
        <f aca="false">($M$15*(1-Assumptions!$D$7)+$N$15*(1-Assumptions!$D$8))*0.6</f>
        <v>115.827181970103</v>
      </c>
      <c r="G18" s="53" t="n">
        <f aca="false">E18/F18</f>
        <v>1.1450286504292</v>
      </c>
    </row>
    <row r="19" customFormat="false" ht="15" hidden="false" customHeight="true" outlineLevel="0" collapsed="false">
      <c r="A19" s="5" t="s">
        <v>37</v>
      </c>
      <c r="B19" s="41" t="n">
        <f aca="false">'Results Scenario B'!O39</f>
        <v>895994.627539551</v>
      </c>
      <c r="C19" s="42" t="n">
        <f aca="false">Assumptions!$C$37</f>
        <v>100</v>
      </c>
      <c r="D19" s="70" t="n">
        <f aca="false">Assumptions!$B$78</f>
        <v>0.3</v>
      </c>
      <c r="E19" s="42" t="n">
        <f aca="false">B19*C19*8760*D19/1000000000</f>
        <v>235.467388117394</v>
      </c>
      <c r="F19" s="42" t="n">
        <f aca="false">($M$15*(1-Assumptions!$D$7)+$N$15*(1-Assumptions!$D$8))*0.4</f>
        <v>77.2181213134022</v>
      </c>
      <c r="G19" s="53" t="n">
        <f aca="false">E19/F19</f>
        <v>3.04937991383799</v>
      </c>
    </row>
    <row r="20" customFormat="false" ht="15" hidden="false" customHeight="true" outlineLevel="0" collapsed="false">
      <c r="A20" s="5" t="s">
        <v>38</v>
      </c>
      <c r="B20" s="41" t="n">
        <f aca="false">'Results Scenario B'!P39</f>
        <v>1889011.09935437</v>
      </c>
      <c r="C20" s="42" t="n">
        <f aca="false">Assumptions!$C$38</f>
        <v>250</v>
      </c>
      <c r="D20" s="70" t="n">
        <f aca="false">Assumptions!$B$79</f>
        <v>0.4</v>
      </c>
      <c r="E20" s="42" t="n">
        <f aca="false">B20*C20*8760*D20/1000000000</f>
        <v>1654.77372303443</v>
      </c>
      <c r="F20" s="42" t="n">
        <f aca="false">$O$15+$P$15+$Q$15</f>
        <v>223.572292596356</v>
      </c>
      <c r="G20" s="53" t="n">
        <f aca="false">E20/F20</f>
        <v>7.40151520484698</v>
      </c>
    </row>
    <row r="21" customFormat="false" ht="41.25" hidden="false" customHeight="true" outlineLevel="0" collapsed="false">
      <c r="A21" s="5" t="s">
        <v>292</v>
      </c>
      <c r="B21" s="41" t="n">
        <f aca="false">'Results Scenario B'!Q39</f>
        <v>80915.1972910457</v>
      </c>
      <c r="C21" s="42" t="n">
        <f aca="false">Assumptions!$B$69</f>
        <v>3.24</v>
      </c>
      <c r="D21" s="70" t="n">
        <f aca="false">Assumptions!$B$72</f>
        <v>900</v>
      </c>
      <c r="E21" s="42" t="n">
        <f aca="false">B21*D21*C21*Assumptions!$B$71/1000000000</f>
        <v>86.1212810847516</v>
      </c>
      <c r="F21" s="42" t="n">
        <f aca="false">$S$15</f>
        <v>16.4927241699212</v>
      </c>
      <c r="G21" s="53" t="n">
        <f aca="false">E21/F21</f>
        <v>5.22177417129283</v>
      </c>
      <c r="H21" s="55" t="s">
        <v>293</v>
      </c>
    </row>
    <row r="24" customFormat="false" ht="15" hidden="false" customHeight="true" outlineLevel="0" collapsed="false">
      <c r="A24" s="45" t="s">
        <v>295</v>
      </c>
      <c r="B24" s="45"/>
      <c r="C24" s="45"/>
      <c r="D24" s="45"/>
      <c r="E24" s="45"/>
      <c r="F24" s="45"/>
      <c r="G24" s="45"/>
      <c r="H24" s="45"/>
      <c r="I24" s="45"/>
      <c r="J24" s="45"/>
    </row>
    <row r="25" customFormat="false" ht="15" hidden="false" customHeight="true" outlineLevel="0" collapsed="false">
      <c r="A25" s="46" t="s">
        <v>285</v>
      </c>
      <c r="B25" s="46" t="s">
        <v>286</v>
      </c>
      <c r="C25" s="46" t="s">
        <v>287</v>
      </c>
      <c r="D25" s="46" t="s">
        <v>288</v>
      </c>
      <c r="E25" s="46" t="s">
        <v>289</v>
      </c>
      <c r="F25" s="46" t="s">
        <v>290</v>
      </c>
      <c r="G25" s="46" t="s">
        <v>291</v>
      </c>
      <c r="L25" s="5" t="n">
        <f aca="false">'Results Scenario C'!C39*Assumptions!$B$6*Assumptions!$C$6*Assumptions!$B$61/1000000000</f>
        <v>10.9521393974501</v>
      </c>
      <c r="M25" s="5" t="n">
        <f aca="false">'Results Scenario C'!D39*Assumptions!$B$7*Assumptions!$C$7*Assumptions!$B$61/1000000000</f>
        <v>140.708153283944</v>
      </c>
      <c r="N25" s="5" t="n">
        <f aca="false">'Results Scenario C'!E39*Assumptions!$B$8*Assumptions!$C$8*Assumptions!$B$61/1000000000</f>
        <v>19.4908039933067</v>
      </c>
      <c r="O25" s="5" t="n">
        <f aca="false">'Results Scenario C'!F39*Assumptions!$B$9*Assumptions!$C$9*Assumptions!$B$61/1000000000</f>
        <v>110.9291144059</v>
      </c>
      <c r="P25" s="5" t="n">
        <f aca="false">'Results Scenario C'!G39*Assumptions!$B$10*Assumptions!$C$10*Assumptions!$B$61/1000000000</f>
        <v>0.638199437469662</v>
      </c>
      <c r="Q25" s="5" t="n">
        <f aca="false">'Results Scenario C'!H39*Assumptions!$B$11*Assumptions!$C$11*Assumptions!$B$61/1000000000</f>
        <v>2.00907931624952</v>
      </c>
      <c r="R25" s="5" t="n">
        <f aca="false">'Results Scenario C'!C39*Assumptions!$D$6*Assumptions!$B$88*Assumptions!$C$6*Assumptions!$B$61/1000000000</f>
        <v>2.57371243388164</v>
      </c>
      <c r="S25" s="5" t="n">
        <f aca="false">'Results Scenario C'!C39*(1-Assumptions!$D$6)*Assumptions!$B$89*Assumptions!$C$6*Assumptions!$B$61/1000000000</f>
        <v>8.37842696356849</v>
      </c>
    </row>
    <row r="26" customFormat="false" ht="15" hidden="false" customHeight="true" outlineLevel="0" collapsed="false">
      <c r="A26" s="5" t="s">
        <v>270</v>
      </c>
      <c r="B26" s="41" t="n">
        <f aca="false">'Results Scenario C'!L39</f>
        <v>17647077.7204327</v>
      </c>
      <c r="C26" s="42" t="n">
        <f aca="false">Assumptions!$B$54</f>
        <v>2.3</v>
      </c>
      <c r="D26" s="70" t="n">
        <f aca="false">Assumptions!$B$75</f>
        <v>0.35</v>
      </c>
      <c r="E26" s="42" t="n">
        <f aca="false">B26*C26*8760*D26/1000000000</f>
        <v>124.443662668947</v>
      </c>
      <c r="F26" s="42" t="n">
        <f aca="false">($M$25*Assumptions!$D$7+$N$25*Assumptions!$D$8)*Assumptions!$B$51+$R$25</f>
        <v>46.0650641919805</v>
      </c>
      <c r="G26" s="53" t="n">
        <f aca="false">E26/F26</f>
        <v>2.70147594173138</v>
      </c>
    </row>
    <row r="27" customFormat="false" ht="15" hidden="false" customHeight="true" outlineLevel="0" collapsed="false">
      <c r="A27" s="5" t="s">
        <v>271</v>
      </c>
      <c r="B27" s="41" t="n">
        <f aca="false">'Results Scenario C'!M39</f>
        <v>2632391.67745772</v>
      </c>
      <c r="C27" s="42" t="n">
        <f aca="false">Assumptions!$C$35</f>
        <v>7.4</v>
      </c>
      <c r="D27" s="70" t="n">
        <f aca="false">Assumptions!$B$76</f>
        <v>0.3</v>
      </c>
      <c r="E27" s="42" t="n">
        <f aca="false">B27*C27*8760*D27/1000000000</f>
        <v>51.1926474298557</v>
      </c>
      <c r="F27" s="42" t="n">
        <f aca="false">($M$25*Assumptions!$D$7+$N$25*Assumptions!$D$8)*(1-Assumptions!$B$51)</f>
        <v>18.6391507534709</v>
      </c>
      <c r="G27" s="53" t="n">
        <f aca="false">E27/F27</f>
        <v>2.74651179696708</v>
      </c>
    </row>
    <row r="28" customFormat="false" ht="15" hidden="false" customHeight="true" outlineLevel="0" collapsed="false">
      <c r="A28" s="5" t="s">
        <v>36</v>
      </c>
      <c r="B28" s="41" t="n">
        <f aca="false">'Results Scenario C'!N39</f>
        <v>1398395.89551713</v>
      </c>
      <c r="C28" s="42" t="n">
        <f aca="false">Assumptions!$C$36</f>
        <v>22</v>
      </c>
      <c r="D28" s="70" t="n">
        <f aca="false">Assumptions!$B$77</f>
        <v>0.25</v>
      </c>
      <c r="E28" s="42" t="n">
        <f aca="false">B28*C28*8760*D28/1000000000</f>
        <v>67.3747142460151</v>
      </c>
      <c r="F28" s="42" t="n">
        <f aca="false">($M$25*(1-Assumptions!$D$7)+$N$25*(1-Assumptions!$D$8))*0.6</f>
        <v>58.8410728594088</v>
      </c>
      <c r="G28" s="53" t="n">
        <f aca="false">E28/F28</f>
        <v>1.1450286504292</v>
      </c>
    </row>
    <row r="29" customFormat="false" ht="15" hidden="false" customHeight="true" outlineLevel="0" collapsed="false">
      <c r="A29" s="5" t="s">
        <v>37</v>
      </c>
      <c r="B29" s="41" t="n">
        <f aca="false">'Results Scenario C'!O39</f>
        <v>455171.957600606</v>
      </c>
      <c r="C29" s="42" t="n">
        <f aca="false">Assumptions!$C$37</f>
        <v>100</v>
      </c>
      <c r="D29" s="70" t="n">
        <f aca="false">Assumptions!$B$78</f>
        <v>0.3</v>
      </c>
      <c r="E29" s="42" t="n">
        <f aca="false">B29*C29*8760*D29/1000000000</f>
        <v>119.619190457439</v>
      </c>
      <c r="F29" s="42" t="n">
        <f aca="false">($M$25*(1-Assumptions!$D$7)+$N$25*(1-Assumptions!$D$8))*0.4</f>
        <v>39.2273819062725</v>
      </c>
      <c r="G29" s="53" t="n">
        <f aca="false">E29/F29</f>
        <v>3.04937991383799</v>
      </c>
    </row>
    <row r="30" customFormat="false" ht="15" hidden="false" customHeight="true" outlineLevel="0" collapsed="false">
      <c r="A30" s="5" t="s">
        <v>38</v>
      </c>
      <c r="B30" s="41" t="n">
        <f aca="false">'Results Scenario C'!P39</f>
        <v>959631.736167354</v>
      </c>
      <c r="C30" s="42" t="n">
        <f aca="false">Assumptions!$C$38</f>
        <v>250</v>
      </c>
      <c r="D30" s="70" t="n">
        <f aca="false">Assumptions!$B$79</f>
        <v>0.4</v>
      </c>
      <c r="E30" s="42" t="n">
        <f aca="false">B30*C30*8760*D30/1000000000</f>
        <v>840.637400882602</v>
      </c>
      <c r="F30" s="42" t="n">
        <f aca="false">$O$25+$P$25+$Q$25</f>
        <v>113.576393159619</v>
      </c>
      <c r="G30" s="53" t="n">
        <f aca="false">E30/F30</f>
        <v>7.40151520484698</v>
      </c>
    </row>
    <row r="31" customFormat="false" ht="41.25" hidden="false" customHeight="true" outlineLevel="0" collapsed="false">
      <c r="A31" s="5" t="s">
        <v>292</v>
      </c>
      <c r="B31" s="41" t="n">
        <f aca="false">'Results Scenario C'!Q39</f>
        <v>41105.5240942042</v>
      </c>
      <c r="C31" s="42" t="n">
        <f aca="false">Assumptions!$B$69</f>
        <v>3.24</v>
      </c>
      <c r="D31" s="70" t="n">
        <f aca="false">Assumptions!$B$72</f>
        <v>900</v>
      </c>
      <c r="E31" s="42" t="n">
        <f aca="false">B31*D31*C31*Assumptions!$B$71/1000000000</f>
        <v>43.7502535144253</v>
      </c>
      <c r="F31" s="42" t="n">
        <f aca="false">$S$25</f>
        <v>8.37842696356849</v>
      </c>
      <c r="G31" s="53" t="n">
        <f aca="false">E31/F31</f>
        <v>5.22177417129283</v>
      </c>
      <c r="H31" s="55" t="s">
        <v>293</v>
      </c>
    </row>
  </sheetData>
  <mergeCells count="4">
    <mergeCell ref="A2:J2"/>
    <mergeCell ref="A4:J4"/>
    <mergeCell ref="A14:J14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296</v>
      </c>
    </row>
    <row r="3" customFormat="false" ht="15" hidden="false" customHeight="true" outlineLevel="0" collapsed="false">
      <c r="A3" s="71" t="s">
        <v>297</v>
      </c>
      <c r="B3" s="71"/>
      <c r="C3" s="71"/>
      <c r="D3" s="71"/>
      <c r="E3" s="71"/>
      <c r="F3" s="71"/>
      <c r="G3" s="71"/>
      <c r="H3" s="71"/>
    </row>
    <row r="4" customFormat="false" ht="15" hidden="false" customHeight="true" outlineLevel="0" collapsed="false">
      <c r="A4" s="5" t="s">
        <v>298</v>
      </c>
      <c r="B4" s="27" t="n">
        <f aca="false">'Fleet projections'!C181</f>
        <v>41.2946703687395</v>
      </c>
    </row>
    <row r="5" customFormat="false" ht="15" hidden="false" customHeight="true" outlineLevel="0" collapsed="false">
      <c r="A5" s="5" t="s">
        <v>299</v>
      </c>
      <c r="B5" s="27" t="n">
        <f aca="false">'Fleet projections'!D181</f>
        <v>48.4087916062875</v>
      </c>
    </row>
    <row r="6" customFormat="false" ht="15" hidden="false" customHeight="true" outlineLevel="0" collapsed="false">
      <c r="A6" s="5" t="s">
        <v>300</v>
      </c>
      <c r="B6" s="27" t="n">
        <f aca="false">'Fleet projections'!E181</f>
        <v>8.44270080248386</v>
      </c>
    </row>
    <row r="7" customFormat="false" ht="15" hidden="false" customHeight="true" outlineLevel="0" collapsed="false">
      <c r="A7" s="5" t="s">
        <v>301</v>
      </c>
      <c r="B7" s="27" t="n">
        <f aca="false">'Fleet projections'!F181</f>
        <v>5.71522224058141</v>
      </c>
    </row>
    <row r="8" customFormat="false" ht="15" hidden="false" customHeight="true" outlineLevel="0" collapsed="false">
      <c r="A8" s="5" t="s">
        <v>302</v>
      </c>
      <c r="B8" s="27" t="n">
        <f aca="false">'Fleet projections'!G181</f>
        <v>0.0809297605324221</v>
      </c>
    </row>
    <row r="9" customFormat="false" ht="15" hidden="false" customHeight="true" outlineLevel="0" collapsed="false">
      <c r="A9" s="5" t="s">
        <v>303</v>
      </c>
      <c r="B9" s="27" t="n">
        <f aca="false">'Fleet projections'!H181</f>
        <v>0.0809297605324221</v>
      </c>
    </row>
    <row r="10" customFormat="false" ht="15" hidden="false" customHeight="true" outlineLevel="0" collapsed="false">
      <c r="A10" s="5" t="s">
        <v>304</v>
      </c>
      <c r="B10" s="64" t="n">
        <f aca="false">'EV adoption'!B54</f>
        <v>0.979729303666985</v>
      </c>
    </row>
    <row r="11" customFormat="false" ht="15" hidden="false" customHeight="true" outlineLevel="0" collapsed="false">
      <c r="A11" s="5" t="s">
        <v>305</v>
      </c>
      <c r="B11" s="64" t="n">
        <f aca="false">'EV adoption'!C54</f>
        <v>0.950093066332511</v>
      </c>
    </row>
    <row r="12" customFormat="false" ht="15" hidden="false" customHeight="true" outlineLevel="0" collapsed="false">
      <c r="A12" s="5" t="s">
        <v>306</v>
      </c>
      <c r="B12" s="64" t="n">
        <f aca="false">'EV adoption'!D54</f>
        <v>0.919945000943165</v>
      </c>
    </row>
    <row r="13" customFormat="false" ht="15" hidden="false" customHeight="true" outlineLevel="0" collapsed="false">
      <c r="A13" s="5" t="s">
        <v>307</v>
      </c>
      <c r="B13" s="64" t="n">
        <f aca="false">'EV adoption'!E54</f>
        <v>0.800096884614732</v>
      </c>
    </row>
    <row r="14" customFormat="false" ht="15" hidden="false" customHeight="true" outlineLevel="0" collapsed="false">
      <c r="A14" s="5" t="s">
        <v>308</v>
      </c>
      <c r="B14" s="64" t="n">
        <f aca="false">'EV adoption'!F54</f>
        <v>0.950691821831212</v>
      </c>
    </row>
    <row r="15" customFormat="false" ht="15" hidden="false" customHeight="true" outlineLevel="0" collapsed="false">
      <c r="A15" s="5" t="s">
        <v>309</v>
      </c>
      <c r="B15" s="64" t="n">
        <f aca="false">'EV adoption'!G54</f>
        <v>0.900249510880315</v>
      </c>
    </row>
    <row r="16" customFormat="false" ht="15" hidden="false" customHeight="true" outlineLevel="0" collapsed="false">
      <c r="A16" s="5" t="s">
        <v>310</v>
      </c>
      <c r="B16" s="41" t="n">
        <f aca="false">Assumptions!B6</f>
        <v>16296</v>
      </c>
    </row>
    <row r="17" customFormat="false" ht="15" hidden="false" customHeight="true" outlineLevel="0" collapsed="false">
      <c r="A17" s="5" t="s">
        <v>311</v>
      </c>
      <c r="B17" s="41" t="n">
        <f aca="false">Assumptions!B7</f>
        <v>32500</v>
      </c>
    </row>
    <row r="18" customFormat="false" ht="15" hidden="false" customHeight="true" outlineLevel="0" collapsed="false">
      <c r="A18" s="5" t="s">
        <v>312</v>
      </c>
      <c r="B18" s="41" t="n">
        <f aca="false">Assumptions!B8</f>
        <v>20600</v>
      </c>
    </row>
    <row r="19" customFormat="false" ht="15" hidden="false" customHeight="true" outlineLevel="0" collapsed="false">
      <c r="A19" s="5" t="s">
        <v>313</v>
      </c>
      <c r="B19" s="41" t="n">
        <f aca="false">Assumptions!B9</f>
        <v>33700</v>
      </c>
    </row>
    <row r="20" customFormat="false" ht="15" hidden="false" customHeight="true" outlineLevel="0" collapsed="false">
      <c r="A20" s="5" t="s">
        <v>314</v>
      </c>
      <c r="B20" s="41" t="n">
        <f aca="false">Assumptions!B10</f>
        <v>21400</v>
      </c>
    </row>
    <row r="21" customFormat="false" ht="15" hidden="false" customHeight="true" outlineLevel="0" collapsed="false">
      <c r="A21" s="5" t="s">
        <v>315</v>
      </c>
      <c r="B21" s="41" t="n">
        <f aca="false">Assumptions!B11</f>
        <v>33200</v>
      </c>
    </row>
    <row r="22" customFormat="false" ht="15" hidden="false" customHeight="true" outlineLevel="0" collapsed="false">
      <c r="A22" s="5" t="s">
        <v>316</v>
      </c>
      <c r="B22" s="27" t="n">
        <f aca="false">Assumptions!C6</f>
        <v>0.03</v>
      </c>
    </row>
    <row r="23" customFormat="false" ht="15" hidden="false" customHeight="true" outlineLevel="0" collapsed="false">
      <c r="A23" s="5" t="s">
        <v>317</v>
      </c>
      <c r="B23" s="27" t="n">
        <f aca="false">Assumptions!C7</f>
        <v>0.17</v>
      </c>
    </row>
    <row r="24" customFormat="false" ht="15" hidden="false" customHeight="true" outlineLevel="0" collapsed="false">
      <c r="A24" s="5" t="s">
        <v>318</v>
      </c>
      <c r="B24" s="27" t="n">
        <f aca="false">Assumptions!C8</f>
        <v>0.22</v>
      </c>
    </row>
    <row r="25" customFormat="false" ht="15" hidden="false" customHeight="true" outlineLevel="0" collapsed="false">
      <c r="A25" s="5" t="s">
        <v>319</v>
      </c>
      <c r="B25" s="27" t="n">
        <f aca="false">Assumptions!C9</f>
        <v>1.3</v>
      </c>
    </row>
    <row r="26" customFormat="false" ht="15" hidden="false" customHeight="true" outlineLevel="0" collapsed="false">
      <c r="A26" s="5" t="s">
        <v>320</v>
      </c>
      <c r="B26" s="27" t="n">
        <f aca="false">Assumptions!C10</f>
        <v>0.7</v>
      </c>
    </row>
    <row r="27" customFormat="false" ht="15" hidden="false" customHeight="true" outlineLevel="0" collapsed="false">
      <c r="A27" s="5" t="s">
        <v>321</v>
      </c>
      <c r="B27" s="27" t="n">
        <f aca="false">Assumptions!C11</f>
        <v>1.5</v>
      </c>
    </row>
    <row r="28" customFormat="false" ht="15" hidden="false" customHeight="true" outlineLevel="0" collapsed="false">
      <c r="A28" s="5" t="s">
        <v>322</v>
      </c>
      <c r="B28" s="70" t="n">
        <f aca="false">Assumptions!D6</f>
        <v>0.5</v>
      </c>
    </row>
    <row r="29" customFormat="false" ht="15" hidden="false" customHeight="true" outlineLevel="0" collapsed="false">
      <c r="A29" s="5" t="s">
        <v>323</v>
      </c>
      <c r="B29" s="70" t="n">
        <f aca="false">Assumptions!D7</f>
        <v>0.4</v>
      </c>
    </row>
    <row r="30" customFormat="false" ht="15" hidden="false" customHeight="true" outlineLevel="0" collapsed="false">
      <c r="A30" s="5" t="s">
        <v>324</v>
      </c>
      <c r="B30" s="70" t="n">
        <f aca="false">Assumptions!D8</f>
        <v>0.3</v>
      </c>
    </row>
    <row r="31" customFormat="false" ht="15" hidden="false" customHeight="true" outlineLevel="0" collapsed="false">
      <c r="A31" s="5" t="s">
        <v>325</v>
      </c>
      <c r="B31" s="70" t="n">
        <f aca="false">Assumptions!D9</f>
        <v>0</v>
      </c>
    </row>
    <row r="32" customFormat="false" ht="15" hidden="false" customHeight="true" outlineLevel="0" collapsed="false">
      <c r="A32" s="5" t="s">
        <v>326</v>
      </c>
      <c r="B32" s="70" t="n">
        <f aca="false">Assumptions!D10</f>
        <v>0</v>
      </c>
    </row>
    <row r="33" customFormat="false" ht="15" hidden="false" customHeight="true" outlineLevel="0" collapsed="false">
      <c r="A33" s="5" t="s">
        <v>327</v>
      </c>
      <c r="B33" s="70" t="n">
        <f aca="false">Assumptions!D11</f>
        <v>0</v>
      </c>
    </row>
    <row r="34" customFormat="false" ht="15" hidden="false" customHeight="true" outlineLevel="0" collapsed="false">
      <c r="A34" s="5" t="s">
        <v>328</v>
      </c>
      <c r="B34" s="42" t="n">
        <f aca="false">Assumptions!B52</f>
        <v>1</v>
      </c>
    </row>
    <row r="35" customFormat="false" ht="15" hidden="false" customHeight="true" outlineLevel="0" collapsed="false">
      <c r="A35" s="5" t="s">
        <v>329</v>
      </c>
      <c r="B35" s="42" t="n">
        <f aca="false">Assumptions!B26</f>
        <v>1.2</v>
      </c>
    </row>
    <row r="36" customFormat="false" ht="15" hidden="false" customHeight="true" outlineLevel="0" collapsed="false">
      <c r="A36" s="5" t="s">
        <v>330</v>
      </c>
      <c r="B36" s="42" t="n">
        <f aca="false">Assumptions!B27</f>
        <v>12</v>
      </c>
    </row>
    <row r="37" customFormat="false" ht="15" hidden="false" customHeight="true" outlineLevel="0" collapsed="false">
      <c r="A37" s="5" t="s">
        <v>331</v>
      </c>
      <c r="B37" s="42" t="n">
        <f aca="false">Assumptions!B28</f>
        <v>60</v>
      </c>
    </row>
    <row r="38" customFormat="false" ht="15" hidden="false" customHeight="true" outlineLevel="0" collapsed="false">
      <c r="A38" s="5" t="s">
        <v>332</v>
      </c>
      <c r="B38" s="42" t="n">
        <f aca="false">Assumptions!B29</f>
        <v>2.5</v>
      </c>
    </row>
    <row r="39" customFormat="false" ht="15" hidden="false" customHeight="true" outlineLevel="0" collapsed="false">
      <c r="A39" s="5" t="s">
        <v>333</v>
      </c>
      <c r="B39" s="42" t="n">
        <f aca="false">Assumptions!B30</f>
        <v>250</v>
      </c>
    </row>
    <row r="40" customFormat="false" ht="15" hidden="false" customHeight="true" outlineLevel="0" collapsed="false">
      <c r="A40" s="5" t="s">
        <v>334</v>
      </c>
      <c r="B40" s="41" t="n">
        <f aca="false">Assumptions!B53</f>
        <v>200</v>
      </c>
    </row>
    <row r="41" customFormat="false" ht="15" hidden="false" customHeight="true" outlineLevel="0" collapsed="false">
      <c r="A41" s="5" t="s">
        <v>335</v>
      </c>
      <c r="B41" s="72" t="n">
        <f aca="false">Assumptions!B35</f>
        <v>1500</v>
      </c>
    </row>
    <row r="42" customFormat="false" ht="15" hidden="false" customHeight="true" outlineLevel="0" collapsed="false">
      <c r="A42" s="5" t="s">
        <v>336</v>
      </c>
      <c r="B42" s="72" t="n">
        <f aca="false">Assumptions!B36</f>
        <v>5500</v>
      </c>
    </row>
    <row r="43" customFormat="false" ht="15" hidden="false" customHeight="true" outlineLevel="0" collapsed="false">
      <c r="A43" s="5" t="s">
        <v>337</v>
      </c>
      <c r="B43" s="72" t="n">
        <f aca="false">Assumptions!B37</f>
        <v>55000</v>
      </c>
    </row>
    <row r="44" customFormat="false" ht="15" hidden="false" customHeight="true" outlineLevel="0" collapsed="false">
      <c r="A44" s="5" t="s">
        <v>338</v>
      </c>
      <c r="B44" s="72" t="n">
        <f aca="false">Assumptions!B38</f>
        <v>85000</v>
      </c>
    </row>
    <row r="45" customFormat="false" ht="15" hidden="false" customHeight="true" outlineLevel="0" collapsed="false">
      <c r="A45" s="5" t="s">
        <v>339</v>
      </c>
      <c r="B45" s="72" t="n">
        <f aca="false">Assumptions!B39</f>
        <v>350000</v>
      </c>
    </row>
    <row r="46" customFormat="false" ht="15" hidden="false" customHeight="true" outlineLevel="0" collapsed="false">
      <c r="A46" s="5" t="s">
        <v>340</v>
      </c>
      <c r="B46" s="42" t="n">
        <f aca="false">Assumptions!B54</f>
        <v>2.3</v>
      </c>
    </row>
    <row r="47" customFormat="false" ht="15" hidden="false" customHeight="true" outlineLevel="0" collapsed="false">
      <c r="A47" s="5" t="s">
        <v>341</v>
      </c>
      <c r="B47" s="42" t="n">
        <f aca="false">Assumptions!C35</f>
        <v>7.4</v>
      </c>
    </row>
    <row r="48" customFormat="false" ht="15" hidden="false" customHeight="true" outlineLevel="0" collapsed="false">
      <c r="A48" s="5" t="s">
        <v>342</v>
      </c>
      <c r="B48" s="42" t="n">
        <f aca="false">Assumptions!C36</f>
        <v>22</v>
      </c>
    </row>
    <row r="49" customFormat="false" ht="15" hidden="false" customHeight="true" outlineLevel="0" collapsed="false">
      <c r="A49" s="5" t="s">
        <v>343</v>
      </c>
      <c r="B49" s="42" t="n">
        <f aca="false">Assumptions!C37</f>
        <v>100</v>
      </c>
    </row>
    <row r="50" customFormat="false" ht="15" hidden="false" customHeight="true" outlineLevel="0" collapsed="false">
      <c r="A50" s="5" t="s">
        <v>344</v>
      </c>
      <c r="B50" s="42" t="n">
        <f aca="false">Assumptions!C38</f>
        <v>250</v>
      </c>
    </row>
    <row r="51" customFormat="false" ht="15" hidden="false" customHeight="true" outlineLevel="0" collapsed="false">
      <c r="A51" s="5" t="s">
        <v>345</v>
      </c>
      <c r="B51" s="42" t="n">
        <f aca="false">Assumptions!C39</f>
        <v>200</v>
      </c>
    </row>
    <row r="52" customFormat="false" ht="15" hidden="false" customHeight="true" outlineLevel="0" collapsed="false">
      <c r="A52" s="5" t="s">
        <v>346</v>
      </c>
      <c r="B52" s="53" t="n">
        <f aca="false">Assumptions!B55</f>
        <v>0.3</v>
      </c>
    </row>
    <row r="53" customFormat="false" ht="15" hidden="false" customHeight="true" outlineLevel="0" collapsed="false">
      <c r="A53" s="5" t="s">
        <v>347</v>
      </c>
      <c r="B53" s="53" t="n">
        <f aca="false">Assumptions!D35</f>
        <v>0.2</v>
      </c>
    </row>
    <row r="54" customFormat="false" ht="15" hidden="false" customHeight="true" outlineLevel="0" collapsed="false">
      <c r="A54" s="5" t="s">
        <v>348</v>
      </c>
      <c r="B54" s="53" t="n">
        <f aca="false">Assumptions!D36</f>
        <v>0.3</v>
      </c>
    </row>
    <row r="55" customFormat="false" ht="15" hidden="false" customHeight="true" outlineLevel="0" collapsed="false">
      <c r="A55" s="5" t="s">
        <v>349</v>
      </c>
      <c r="B55" s="53" t="n">
        <f aca="false">Assumptions!D37</f>
        <v>0.4</v>
      </c>
    </row>
    <row r="56" customFormat="false" ht="15" hidden="false" customHeight="true" outlineLevel="0" collapsed="false">
      <c r="A56" s="5" t="s">
        <v>350</v>
      </c>
      <c r="B56" s="53" t="n">
        <f aca="false">Assumptions!D38</f>
        <v>0.6</v>
      </c>
    </row>
    <row r="57" customFormat="false" ht="15" hidden="false" customHeight="true" outlineLevel="0" collapsed="false">
      <c r="A57" s="5" t="s">
        <v>351</v>
      </c>
      <c r="B57" s="53" t="n">
        <f aca="false">Assumptions!D39</f>
        <v>0.5</v>
      </c>
    </row>
    <row r="58" customFormat="false" ht="15" hidden="false" customHeight="true" outlineLevel="0" collapsed="false">
      <c r="A58" s="5" t="s">
        <v>352</v>
      </c>
      <c r="B58" s="72" t="n">
        <f aca="false">Assumptions!B43</f>
        <v>450</v>
      </c>
    </row>
    <row r="59" customFormat="false" ht="15" hidden="false" customHeight="true" outlineLevel="0" collapsed="false">
      <c r="A59" s="5" t="s">
        <v>55</v>
      </c>
      <c r="B59" s="70" t="n">
        <f aca="false">Assumptions!B51</f>
        <v>0.7</v>
      </c>
    </row>
    <row r="60" customFormat="false" ht="15" hidden="false" customHeight="true" outlineLevel="0" collapsed="false">
      <c r="A60" s="5" t="s">
        <v>353</v>
      </c>
      <c r="B60" s="70" t="n">
        <f aca="false">Assumptions!B56</f>
        <v>1</v>
      </c>
    </row>
    <row r="61" customFormat="false" ht="15" hidden="false" customHeight="true" outlineLevel="0" collapsed="false">
      <c r="A61" s="5" t="s">
        <v>354</v>
      </c>
      <c r="B61" s="5" t="n">
        <f aca="false">'Gompertz fit'!B12</f>
        <v>300</v>
      </c>
    </row>
    <row r="62" customFormat="false" ht="15" hidden="false" customHeight="true" outlineLevel="0" collapsed="false">
      <c r="A62" s="5" t="s">
        <v>355</v>
      </c>
      <c r="B62" s="53" t="n">
        <f aca="false">Assumptions!B62</f>
        <v>0.9</v>
      </c>
    </row>
    <row r="63" customFormat="false" ht="15" hidden="false" customHeight="true" outlineLevel="0" collapsed="false">
      <c r="A63" s="5" t="s">
        <v>356</v>
      </c>
      <c r="B63" s="41" t="n">
        <f aca="false">'GDP and Population'!B55</f>
        <v>5713.80479899952</v>
      </c>
    </row>
    <row r="64" customFormat="false" ht="15" hidden="false" customHeight="true" outlineLevel="0" collapsed="false">
      <c r="A64" s="5" t="s">
        <v>357</v>
      </c>
      <c r="B64" s="42" t="n">
        <f aca="false">'GDP and Population'!D55</f>
        <v>397.911853</v>
      </c>
    </row>
    <row r="65" customFormat="false" ht="15" hidden="false" customHeight="true" outlineLevel="0" collapsed="false">
      <c r="A65" s="5" t="s">
        <v>358</v>
      </c>
      <c r="B65" s="61" t="n">
        <f aca="false">Assumptions!B16</f>
        <v>2046.1</v>
      </c>
      <c r="C65" s="53" t="n">
        <f aca="false">Assumptions!C16</f>
        <v>0.279</v>
      </c>
    </row>
    <row r="66" customFormat="false" ht="15" hidden="false" customHeight="true" outlineLevel="0" collapsed="false">
      <c r="A66" s="5" t="s">
        <v>359</v>
      </c>
      <c r="B66" s="61" t="n">
        <f aca="false">Assumptions!B17</f>
        <v>2048.4</v>
      </c>
      <c r="C66" s="53" t="n">
        <f aca="false">Assumptions!C17</f>
        <v>0.254</v>
      </c>
    </row>
    <row r="67" customFormat="false" ht="15" hidden="false" customHeight="true" outlineLevel="0" collapsed="false">
      <c r="A67" s="5" t="s">
        <v>360</v>
      </c>
      <c r="B67" s="61" t="n">
        <f aca="false">Assumptions!B18</f>
        <v>2049.1</v>
      </c>
      <c r="C67" s="53" t="n">
        <f aca="false">Assumptions!C18</f>
        <v>0.224</v>
      </c>
    </row>
    <row r="68" customFormat="false" ht="15" hidden="false" customHeight="true" outlineLevel="0" collapsed="false">
      <c r="A68" s="5" t="s">
        <v>361</v>
      </c>
      <c r="B68" s="61" t="n">
        <f aca="false">Assumptions!B19</f>
        <v>2053.1</v>
      </c>
      <c r="C68" s="53" t="n">
        <f aca="false">Assumptions!C19</f>
        <v>0.201</v>
      </c>
    </row>
    <row r="69" customFormat="false" ht="15" hidden="false" customHeight="true" outlineLevel="0" collapsed="false">
      <c r="A69" s="5" t="s">
        <v>362</v>
      </c>
      <c r="B69" s="61" t="n">
        <f aca="false">Assumptions!B20</f>
        <v>2047.3</v>
      </c>
      <c r="C69" s="53" t="n">
        <f aca="false">Assumptions!C20</f>
        <v>0.233</v>
      </c>
    </row>
    <row r="70" customFormat="false" ht="15" hidden="false" customHeight="true" outlineLevel="0" collapsed="false">
      <c r="A70" s="5" t="s">
        <v>363</v>
      </c>
      <c r="B70" s="61" t="n">
        <f aca="false">Assumptions!B21</f>
        <v>2050</v>
      </c>
      <c r="C70" s="53" t="n">
        <f aca="false">Assumptions!C21</f>
        <v>0.22</v>
      </c>
    </row>
    <row r="71" customFormat="false" ht="15" hidden="false" customHeight="true" outlineLevel="0" collapsed="false">
      <c r="A71" s="5" t="s">
        <v>364</v>
      </c>
    </row>
    <row r="72" customFormat="false" ht="15" hidden="false" customHeight="true" outlineLevel="0" collapsed="false">
      <c r="B72" s="49" t="n">
        <f aca="false">'Gompertz fit'!E16</f>
        <v>52.7769100451008</v>
      </c>
      <c r="C72" s="49" t="n">
        <f aca="false">'Gompertz fit'!D16</f>
        <v>2348.42320800384</v>
      </c>
    </row>
    <row r="73" customFormat="false" ht="15" hidden="false" customHeight="true" outlineLevel="0" collapsed="false">
      <c r="B73" s="49" t="n">
        <f aca="false">'Gompertz fit'!E17</f>
        <v>57.9108887346839</v>
      </c>
      <c r="C73" s="49" t="n">
        <f aca="false">'Gompertz fit'!D17</f>
        <v>2471.23670461517</v>
      </c>
    </row>
    <row r="74" customFormat="false" ht="15" hidden="false" customHeight="true" outlineLevel="0" collapsed="false">
      <c r="B74" s="49" t="n">
        <f aca="false">'Gompertz fit'!E18</f>
        <v>58.3577828206122</v>
      </c>
      <c r="C74" s="49" t="n">
        <f aca="false">'Gompertz fit'!D18</f>
        <v>2459.27909931856</v>
      </c>
    </row>
    <row r="75" customFormat="false" ht="15" hidden="false" customHeight="true" outlineLevel="0" collapsed="false">
      <c r="A75" s="5" t="s">
        <v>365</v>
      </c>
      <c r="B75" s="40" t="n">
        <f aca="false">'Fleet projections'!C72</f>
        <v>0.396975412098352</v>
      </c>
      <c r="C75" s="40" t="n">
        <f aca="false">'Fleet projections'!D72</f>
        <v>0.465365138539446</v>
      </c>
      <c r="D75" s="40" t="n">
        <f aca="false">'Fleet projections'!E72</f>
        <v>0.0811616753532986</v>
      </c>
      <c r="E75" s="40" t="n">
        <f aca="false">'Fleet projections'!F72</f>
        <v>0.0549417802328791</v>
      </c>
      <c r="F75" s="40" t="n">
        <f aca="false">'Fleet projections'!G72</f>
        <v>0.000777996888012448</v>
      </c>
      <c r="G75" s="40" t="n">
        <f aca="false">'Fleet projections'!H72</f>
        <v>0.000777996888012448</v>
      </c>
    </row>
    <row r="77" customFormat="false" ht="26.25" hidden="false" customHeight="true" outlineLevel="0" collapsed="false">
      <c r="A77" s="5" t="s">
        <v>366</v>
      </c>
      <c r="B77" s="73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C77" s="42" t="n">
        <f aca="false">'Results Scenario B'!T39</f>
        <v>420.747165755504</v>
      </c>
      <c r="D77" s="74" t="s">
        <v>367</v>
      </c>
    </row>
    <row r="79" customFormat="false" ht="15" hidden="false" customHeight="true" outlineLevel="0" collapsed="false">
      <c r="A79" s="75" t="s">
        <v>368</v>
      </c>
      <c r="B79" s="76" t="s">
        <v>369</v>
      </c>
      <c r="C79" s="76" t="s">
        <v>370</v>
      </c>
    </row>
    <row r="80" customFormat="false" ht="15" hidden="false" customHeight="true" outlineLevel="0" collapsed="false">
      <c r="A80" s="5" t="s">
        <v>371</v>
      </c>
      <c r="B80" s="5" t="n">
        <f aca="false">$B$61*0.75</f>
        <v>225</v>
      </c>
      <c r="C80" s="5" t="n">
        <f aca="false">$B$61*1.25</f>
        <v>375</v>
      </c>
    </row>
    <row r="81" customFormat="false" ht="15" hidden="false" customHeight="true" outlineLevel="0" collapsed="false">
      <c r="A81" s="5" t="s">
        <v>372</v>
      </c>
      <c r="B81" s="5" t="n">
        <f aca="false">LN(-LN($B$72/(B$80)))</f>
        <v>0.371581912741162</v>
      </c>
      <c r="C81" s="5" t="n">
        <f aca="false">LN(-LN($B$72/(C$80)))</f>
        <v>0.673379195399233</v>
      </c>
    </row>
    <row r="82" customFormat="false" ht="15" hidden="false" customHeight="true" outlineLevel="0" collapsed="false">
      <c r="A82" s="5" t="s">
        <v>373</v>
      </c>
      <c r="B82" s="5" t="n">
        <f aca="false">LN(-LN($B$73/(B$80)))</f>
        <v>0.305420050899163</v>
      </c>
      <c r="C82" s="5" t="n">
        <f aca="false">LN(-LN($B$73/(C$80)))</f>
        <v>0.624879366525644</v>
      </c>
    </row>
    <row r="83" customFormat="false" ht="15" hidden="false" customHeight="true" outlineLevel="0" collapsed="false">
      <c r="A83" s="5" t="s">
        <v>374</v>
      </c>
      <c r="B83" s="5" t="n">
        <f aca="false">LN(-LN($B$74/(B$80)))</f>
        <v>0.299739837560195</v>
      </c>
      <c r="C83" s="5" t="n">
        <f aca="false">LN(-LN($B$74/(C$80)))</f>
        <v>0.62075566224203</v>
      </c>
    </row>
    <row r="84" customFormat="false" ht="15" hidden="false" customHeight="true" outlineLevel="0" collapsed="false">
      <c r="A84" s="5" t="s">
        <v>375</v>
      </c>
      <c r="B84" s="5" t="n">
        <f aca="false">SLOPE(B81:B83,$C$72:$C$74)</f>
        <v>-0.000582288473560138</v>
      </c>
      <c r="C84" s="5" t="n">
        <f aca="false">SLOPE(C81:C83,$C$72:$C$74)</f>
        <v>-0.000426701107186037</v>
      </c>
    </row>
    <row r="85" customFormat="false" ht="15" hidden="false" customHeight="true" outlineLevel="0" collapsed="false">
      <c r="A85" s="5" t="s">
        <v>376</v>
      </c>
      <c r="B85" s="5" t="n">
        <f aca="false">-EXP(INTERCEPT(B81:B83,$C$72:$C$74))</f>
        <v>-5.6882047908289</v>
      </c>
      <c r="C85" s="5" t="n">
        <f aca="false">-EXP(INTERCEPT(C81:C83,$C$72:$C$74))</f>
        <v>-5.33869826808291</v>
      </c>
    </row>
    <row r="86" customFormat="false" ht="15" hidden="false" customHeight="true" outlineLevel="0" collapsed="false">
      <c r="A86" s="5" t="s">
        <v>377</v>
      </c>
      <c r="B86" s="5" t="n">
        <f aca="false">'Fleet projections'!$D$32*(B80*EXP(B85*EXP(B84*$B$63))*$B$64)/(B80*EXP(B85*EXP(B84*'GDP and Population'!$B$19))*'GDP and Population'!$D$19)</f>
        <v>89.5198175825076</v>
      </c>
      <c r="C86" s="5" t="n">
        <f aca="false">'Fleet projections'!$D$32*(C80*EXP(C85*EXP(C84*$B$63))*$B$64)/(C80*EXP(C85*EXP(C84*'GDP and Population'!$B$19))*'GDP and Population'!$D$19)</f>
        <v>114.809969113538</v>
      </c>
    </row>
    <row r="87" customFormat="false" ht="15" hidden="false" customHeight="true" outlineLevel="0" collapsed="false">
      <c r="A87" s="5" t="s">
        <v>378</v>
      </c>
      <c r="B87" s="5" t="n">
        <f aca="false">B86/(SUM($B$4:$B$9))</f>
        <v>0.860575133751091</v>
      </c>
      <c r="C87" s="5" t="n">
        <f aca="false">C86/(SUM($B$4:$B$9))</f>
        <v>1.10369532907927</v>
      </c>
    </row>
    <row r="89" customFormat="false" ht="15" hidden="false" customHeight="true" outlineLevel="0" collapsed="false">
      <c r="A89" s="75" t="s">
        <v>379</v>
      </c>
      <c r="B89" s="5" t="s">
        <v>380</v>
      </c>
      <c r="C89" s="5" t="s">
        <v>381</v>
      </c>
    </row>
    <row r="90" customFormat="false" ht="15" hidden="false" customHeight="true" outlineLevel="0" collapsed="false">
      <c r="A90" s="5" t="s">
        <v>8</v>
      </c>
      <c r="B90" s="64" t="n">
        <f aca="false">1/(1+EXP(-$C$65*(2060-($B$65+5))))</f>
        <v>0.922948542158471</v>
      </c>
      <c r="C90" s="64" t="n">
        <f aca="false">1/(1+EXP(-$C$65*(2060-($B$65-5))))</f>
        <v>0.994898469000065</v>
      </c>
    </row>
    <row r="91" customFormat="false" ht="15" hidden="false" customHeight="true" outlineLevel="0" collapsed="false">
      <c r="A91" s="5" t="s">
        <v>11</v>
      </c>
      <c r="B91" s="64" t="n">
        <f aca="false">1/(1+EXP(-$C$66*(2060-($B$66+5))))</f>
        <v>0.842427243101667</v>
      </c>
      <c r="C91" s="64" t="n">
        <f aca="false">1/(1+EXP(-$C$66*(2060-($B$66-5))))</f>
        <v>0.98546279287721</v>
      </c>
    </row>
    <row r="92" customFormat="false" ht="15" hidden="false" customHeight="true" outlineLevel="0" collapsed="false">
      <c r="A92" s="5" t="s">
        <v>14</v>
      </c>
      <c r="B92" s="64" t="n">
        <f aca="false">1/(1+EXP(-$C$67*(2060-($B$67+5))))</f>
        <v>0.789447781659974</v>
      </c>
      <c r="C92" s="64" t="n">
        <f aca="false">1/(1+EXP(-$C$67*(2060-($B$67-5))))</f>
        <v>0.972390565604997</v>
      </c>
    </row>
    <row r="93" customFormat="false" ht="15" hidden="false" customHeight="true" outlineLevel="0" collapsed="false">
      <c r="A93" s="5" t="s">
        <v>16</v>
      </c>
      <c r="B93" s="64" t="n">
        <f aca="false">1/(1+EXP(-$C$68*(2060-($B$68+5))))</f>
        <v>0.594331277973755</v>
      </c>
      <c r="C93" s="64" t="n">
        <f aca="false">1/(1+EXP(-$C$68*(2060-($B$68-5))))</f>
        <v>0.916207548924151</v>
      </c>
    </row>
    <row r="94" customFormat="false" ht="15" hidden="false" customHeight="true" outlineLevel="0" collapsed="false">
      <c r="A94" s="5" t="s">
        <v>18</v>
      </c>
      <c r="B94" s="64" t="n">
        <f aca="false">1/(1+EXP(-$C$69*(2060-($B$69+5))))</f>
        <v>0.857429213250684</v>
      </c>
      <c r="C94" s="64" t="n">
        <f aca="false">1/(1+EXP(-$C$69*(2060-($B$69-5))))</f>
        <v>0.984079514107952</v>
      </c>
    </row>
    <row r="95" customFormat="false" ht="15" hidden="false" customHeight="true" outlineLevel="0" collapsed="false">
      <c r="A95" s="5" t="s">
        <v>20</v>
      </c>
      <c r="B95" s="64" t="n">
        <f aca="false">1/(1+EXP(-$C$70*(2060-($B$70+5))))</f>
        <v>0.750260105595118</v>
      </c>
      <c r="C95" s="64" t="n">
        <f aca="false">1/(1+EXP(-$C$70*(2060-($B$70-5))))</f>
        <v>0.964428810727364</v>
      </c>
    </row>
    <row r="98" customFormat="false" ht="15" hidden="false" customHeight="true" outlineLevel="0" collapsed="false">
      <c r="A98" s="77" t="s">
        <v>382</v>
      </c>
      <c r="B98" s="77"/>
      <c r="C98" s="77"/>
      <c r="D98" s="77"/>
      <c r="E98" s="77"/>
      <c r="F98" s="77"/>
      <c r="G98" s="77"/>
      <c r="H98" s="77"/>
    </row>
    <row r="99" customFormat="false" ht="15" hidden="false" customHeight="true" outlineLevel="0" collapsed="false">
      <c r="A99" s="76" t="s">
        <v>383</v>
      </c>
      <c r="B99" s="76" t="s">
        <v>384</v>
      </c>
      <c r="C99" s="76" t="s">
        <v>385</v>
      </c>
      <c r="D99" s="76" t="s">
        <v>386</v>
      </c>
      <c r="E99" s="76" t="s">
        <v>387</v>
      </c>
      <c r="F99" s="76" t="s">
        <v>388</v>
      </c>
    </row>
    <row r="100" customFormat="false" ht="15" hidden="false" customHeight="true" outlineLevel="0" collapsed="false">
      <c r="A100" s="5" t="s">
        <v>389</v>
      </c>
      <c r="B100" s="5" t="s">
        <v>390</v>
      </c>
      <c r="C100" s="42" t="n">
        <f aca="false">(((((((B5*1000000*($B$87)*(B11)))*MIN(1,B29*(1))+((B6*1000000*($B$87)*(B12)))*MIN(1,B30*(1)))*B59+((B4*1000000*($B$87)*(B10)))*MIN(1,B28*(1))*B60)/B34)*B40+(((((B5*1000000*($B$87)*(B11)))*MIN(1,B29*(1))+((B6*1000000*($B$87)*(B12)))*MIN(1,B30*(1)))*(1-B59))/B35)*B41+(((((B5*1000000*($B$87)*(B11)))*(1-MIN(1,B29*(1)))+((B6*1000000*($B$87)*(B12)))*(1-MIN(1,B30*(1)))))/B36)*B42+((((B5*1000000*($B$87)*(B11)))+((B6*1000000*($B$87)*(B12))))/(B37*(1)))*B43+((((B7*1000000*($B$87)*(B13)))+((B8*1000000*($B$87)*(B14)))+((B9*1000000*($B$87)*(B15))))/B38)*B44+((((B4*1000000*($B$87)*(B10)))*(1-MIN(1,B28*(1))))/B39)*B45)*(1)/1000000000)+((((((((B5*1000000*($B$87)*(B11)))*MIN(1,B29*(1))+((B6*1000000*($B$87)*(B12)))*MIN(1,B30*(1)))*B59+((B4*1000000*($B$87)*(B10)))*MIN(1,B28*(1))*B60)/B34)*B46*B52+(((((B5*1000000*($B$87)*(B11)))*MIN(1,B29*(1))+((B6*1000000*($B$87)*(B12)))*MIN(1,B30*(1)))*(1-B59))/B35)*B47*B53+(((((B5*1000000*($B$87)*(B11)))*(1-MIN(1,B29*(1)))+((B6*1000000*($B$87)*(B12)))*(1-MIN(1,B30*(1)))))/B36)*B48*B54+((((B5*1000000*($B$87)*(B11)))+((B6*1000000*($B$87)*(B12))))/(B37*(1)))*B49*B55+((((B7*1000000*($B$87)*(B13)))+((B8*1000000*($B$87)*(B14)))+((B9*1000000*($B$87)*(B15))))/B38)*B50*B56+((((B4*1000000*($B$87)*(B10)))*(1-MIN(1,B28*(1))))/B39)*B51*B57)*B62/1000000)*1000000*B58*(1)/1000000000)</f>
        <v>362.084548445436</v>
      </c>
      <c r="D100" s="42" t="n">
        <f aca="false">C100-$B$77</f>
        <v>-58.6626173100689</v>
      </c>
      <c r="E100" s="42" t="n">
        <f aca="false">ABS(C101-C100)</f>
        <v>102.292133122255</v>
      </c>
      <c r="F100" s="5" t="str">
        <f aca="false">IF(E100&gt;0.25*$B$77,"HIGH",IF(E100&gt;0.08*$B$77,"MEDIUM","LOW"))</f>
        <v>MEDIUM</v>
      </c>
    </row>
    <row r="101" customFormat="false" ht="15" hidden="false" customHeight="true" outlineLevel="0" collapsed="false">
      <c r="B101" s="5" t="s">
        <v>391</v>
      </c>
      <c r="C101" s="42" t="n">
        <f aca="false">(((((((B5*1000000*($C$87)*(B11)))*MIN(1,B29*(1))+((B6*1000000*($C$87)*(B12)))*MIN(1,B30*(1)))*B59+((B4*1000000*($C$87)*(B10)))*MIN(1,B28*(1))*B60)/B34)*B40+(((((B5*1000000*($C$87)*(B11)))*MIN(1,B29*(1))+((B6*1000000*($C$87)*(B12)))*MIN(1,B30*(1)))*(1-B59))/B35)*B41+(((((B5*1000000*($C$87)*(B11)))*(1-MIN(1,B29*(1)))+((B6*1000000*($C$87)*(B12)))*(1-MIN(1,B30*(1)))))/B36)*B42+((((B5*1000000*($C$87)*(B11)))+((B6*1000000*($C$87)*(B12))))/(B37*(1)))*B43+((((B7*1000000*($C$87)*(B13)))+((B8*1000000*($C$87)*(B14)))+((B9*1000000*($C$87)*(B15))))/B38)*B44+((((B4*1000000*($C$87)*(B10)))*(1-MIN(1,B28*(1))))/B39)*B45)*(1)/1000000000)+((((((((B5*1000000*($C$87)*(B11)))*MIN(1,B29*(1))+((B6*1000000*($C$87)*(B12)))*MIN(1,B30*(1)))*B59+((B4*1000000*($C$87)*(B10)))*MIN(1,B28*(1))*B60)/B34)*B46*B52+(((((B5*1000000*($C$87)*(B11)))*MIN(1,B29*(1))+((B6*1000000*($C$87)*(B12)))*MIN(1,B30*(1)))*(1-B59))/B35)*B47*B53+(((((B5*1000000*($C$87)*(B11)))*(1-MIN(1,B29*(1)))+((B6*1000000*($C$87)*(B12)))*(1-MIN(1,B30*(1)))))/B36)*B48*B54+((((B5*1000000*($C$87)*(B11)))+((B6*1000000*($C$87)*(B12))))/(B37*(1)))*B49*B55+((((B7*1000000*($C$87)*(B13)))+((B8*1000000*($C$87)*(B14)))+((B9*1000000*($C$87)*(B15))))/B38)*B50*B56+((((B4*1000000*($C$87)*(B10)))*(1-MIN(1,B28*(1))))/B39)*B51*B57)*B62/1000000)*1000000*B58*(1)/1000000000)</f>
        <v>464.37668156769</v>
      </c>
      <c r="D101" s="42" t="n">
        <f aca="false">C101-$B$77</f>
        <v>43.6295158121857</v>
      </c>
    </row>
    <row r="102" customFormat="false" ht="15" hidden="false" customHeight="true" outlineLevel="0" collapsed="false">
      <c r="A102" s="5" t="s">
        <v>392</v>
      </c>
      <c r="B102" s="5" t="s">
        <v>393</v>
      </c>
      <c r="C102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(0.7)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340.339329802079</v>
      </c>
      <c r="D102" s="42" t="n">
        <f aca="false">C102-$B$77</f>
        <v>-80.4078359534258</v>
      </c>
      <c r="E102" s="42" t="n">
        <f aca="false">ABS(C103-C102)</f>
        <v>160.815671906852</v>
      </c>
      <c r="F102" s="5" t="str">
        <f aca="false">IF(E102&gt;0.25*$B$77,"HIGH",IF(E102&gt;0.08*$B$77,"MEDIUM","LOW"))</f>
        <v>HIGH</v>
      </c>
    </row>
    <row r="103" customFormat="false" ht="15" hidden="false" customHeight="true" outlineLevel="0" collapsed="false">
      <c r="B103" s="5" t="s">
        <v>394</v>
      </c>
      <c r="C103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(1.3)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501.15500170893</v>
      </c>
      <c r="D103" s="42" t="n">
        <f aca="false">C103-$B$77</f>
        <v>80.4078359534259</v>
      </c>
    </row>
    <row r="104" customFormat="false" ht="15" hidden="false" customHeight="true" outlineLevel="0" collapsed="false">
      <c r="A104" s="5" t="s">
        <v>395</v>
      </c>
      <c r="B104" s="5" t="s">
        <v>396</v>
      </c>
      <c r="C104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(0.5)/1000000000)</f>
        <v>344.386642800129</v>
      </c>
      <c r="D104" s="42" t="n">
        <f aca="false">C104-$B$77</f>
        <v>-76.3605229553758</v>
      </c>
      <c r="E104" s="42" t="n">
        <f aca="false">ABS(C105-C104)</f>
        <v>152.721045910752</v>
      </c>
      <c r="F104" s="5" t="str">
        <f aca="false">IF(E104&gt;0.25*$B$77,"HIGH",IF(E104&gt;0.08*$B$77,"MEDIUM","LOW"))</f>
        <v>HIGH</v>
      </c>
    </row>
    <row r="105" customFormat="false" ht="15" hidden="false" customHeight="true" outlineLevel="0" collapsed="false">
      <c r="B105" s="5" t="s">
        <v>397</v>
      </c>
      <c r="C105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(1.5)/1000000000)</f>
        <v>497.10768871088</v>
      </c>
      <c r="D105" s="42" t="n">
        <f aca="false">C105-$B$77</f>
        <v>76.3605229553759</v>
      </c>
    </row>
    <row r="106" customFormat="false" ht="15" hidden="false" customHeight="true" outlineLevel="0" collapsed="false">
      <c r="A106" s="5" t="s">
        <v>398</v>
      </c>
      <c r="B106" s="5" t="s">
        <v>399</v>
      </c>
      <c r="C106" s="42" t="n">
        <f aca="false">(((((((B5*1000000*(1)*($B$91)))*MIN(1,B29*(1))+((B6*1000000*(1)*($B$92)))*MIN(1,B30*(1)))*B59+((B4*1000000*(1)*($B$90)))*MIN(1,B28*(1))*B60)/B34)*B40+(((((B5*1000000*(1)*($B$91)))*MIN(1,B29*(1))+((B6*1000000*(1)*($B$92)))*MIN(1,B30*(1)))*(1-B59))/B35)*B41+(((((B5*1000000*(1)*($B$91)))*(1-MIN(1,B29*(1)))+((B6*1000000*(1)*($B$92)))*(1-MIN(1,B30*(1)))))/B36)*B42+((((B5*1000000*(1)*($B$91)))+((B6*1000000*(1)*($B$92))))/(B37*(1)))*B43+((((B7*1000000*(1)*($B$93)))+((B8*1000000*(1)*($B$94)))+((B9*1000000*(1)*($B$95))))/B38)*B44+((((B4*1000000*(1)*($B$90)))*(1-MIN(1,B28*(1))))/B39)*B45)*(1)/1000000000)+((((((((B5*1000000*(1)*($B$91)))*MIN(1,B29*(1))+((B6*1000000*(1)*($B$92)))*MIN(1,B30*(1)))*B59+((B4*1000000*(1)*($B$90)))*MIN(1,B28*(1))*B60)/B34)*B46*B52+(((((B5*1000000*(1)*($B$91)))*MIN(1,B29*(1))+((B6*1000000*(1)*($B$92)))*MIN(1,B30*(1)))*(1-B59))/B35)*B47*B53+(((((B5*1000000*(1)*($B$91)))*(1-MIN(1,B29*(1)))+((B6*1000000*(1)*($B$92)))*(1-MIN(1,B30*(1)))))/B36)*B48*B54+((((B5*1000000*(1)*($B$91)))+((B6*1000000*(1)*($B$92))))/(B37*(1)))*B49*B55+((((B7*1000000*(1)*($B$93)))+((B8*1000000*(1)*($B$94)))+((B9*1000000*(1)*($B$95))))/B38)*B50*B56+((((B4*1000000*(1)*($B$90)))*(1-MIN(1,B28*(1))))/B39)*B51*B57)*B62/1000000)*1000000*B58*(1)/1000000000)</f>
        <v>336.419822366972</v>
      </c>
      <c r="D106" s="42" t="n">
        <f aca="false">C106-$B$77</f>
        <v>-84.3273433885323</v>
      </c>
      <c r="E106" s="42" t="n">
        <f aca="false">ABS(C107-C106)</f>
        <v>128.286512577713</v>
      </c>
      <c r="F106" s="5" t="str">
        <f aca="false">IF(E106&gt;0.25*$B$77,"HIGH",IF(E106&gt;0.08*$B$77,"MEDIUM","LOW"))</f>
        <v>HIGH</v>
      </c>
    </row>
    <row r="107" customFormat="false" ht="15" hidden="false" customHeight="true" outlineLevel="0" collapsed="false">
      <c r="B107" s="5" t="s">
        <v>400</v>
      </c>
      <c r="C107" s="42" t="n">
        <f aca="false">(((((((B5*1000000*(1)*($C$91)))*MIN(1,B29*(1))+((B6*1000000*(1)*($C$92)))*MIN(1,B30*(1)))*B59+((B4*1000000*(1)*($C$90)))*MIN(1,B28*(1))*B60)/B34)*B40+(((((B5*1000000*(1)*($C$91)))*MIN(1,B29*(1))+((B6*1000000*(1)*($C$92)))*MIN(1,B30*(1)))*(1-B59))/B35)*B41+(((((B5*1000000*(1)*($C$91)))*(1-MIN(1,B29*(1)))+((B6*1000000*(1)*($C$92)))*(1-MIN(1,B30*(1)))))/B36)*B42+((((B5*1000000*(1)*($C$91)))+((B6*1000000*(1)*($C$92))))/(B37*(1)))*B43+((((B7*1000000*(1)*($C$93)))+((B8*1000000*(1)*($C$94)))+((B9*1000000*(1)*($C$95))))/B38)*B44+((((B4*1000000*(1)*($C$90)))*(1-MIN(1,B28*(1))))/B39)*B45)*(1)/1000000000)+((((((((B5*1000000*(1)*($C$91)))*MIN(1,B29*(1))+((B6*1000000*(1)*($C$92)))*MIN(1,B30*(1)))*B59+((B4*1000000*(1)*($C$90)))*MIN(1,B28*(1))*B60)/B34)*B46*B52+(((((B5*1000000*(1)*($C$91)))*MIN(1,B29*(1))+((B6*1000000*(1)*($C$92)))*MIN(1,B30*(1)))*(1-B59))/B35)*B47*B53+(((((B5*1000000*(1)*($C$91)))*(1-MIN(1,B29*(1)))+((B6*1000000*(1)*($C$92)))*(1-MIN(1,B30*(1)))))/B36)*B48*B54+((((B5*1000000*(1)*($C$91)))+((B6*1000000*(1)*($C$92))))/(B37*(1)))*B49*B55+((((B7*1000000*(1)*($C$93)))+((B8*1000000*(1)*($C$94)))+((B9*1000000*(1)*($C$95))))/B38)*B50*B56+((((B4*1000000*(1)*($C$90)))*(1-MIN(1,B28*(1))))/B39)*B51*B57)*B62/1000000)*1000000*B58*(1)/1000000000)</f>
        <v>464.706334944685</v>
      </c>
      <c r="D107" s="42" t="n">
        <f aca="false">C107-$B$77</f>
        <v>43.9591691891808</v>
      </c>
    </row>
    <row r="108" customFormat="false" ht="15" hidden="false" customHeight="true" outlineLevel="0" collapsed="false">
      <c r="A108" s="5" t="s">
        <v>401</v>
      </c>
      <c r="B108" s="5" t="s">
        <v>396</v>
      </c>
      <c r="C108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(0.5)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(0.5)))*B49*B55+((((B7*1000000*(1)*(B13)))+((B8*1000000*(1)*(B14)))+((B9*1000000*(1)*(B15))))/B38)*B50*B56+((((B4*1000000*(1)*(B10)))*(1-MIN(1,B28*(1))))/B39)*B51*B57)*B62/1000000)*1000000*B58*(1)/1000000000)</f>
        <v>484.54198323632</v>
      </c>
      <c r="D108" s="42" t="n">
        <f aca="false">C108-$B$77</f>
        <v>63.794817480816</v>
      </c>
      <c r="E108" s="42" t="n">
        <f aca="false">ABS(C109-C108)</f>
        <v>85.059756641088</v>
      </c>
      <c r="F108" s="5" t="str">
        <f aca="false">IF(E108&gt;0.25*$B$77,"HIGH",IF(E108&gt;0.08*$B$77,"MEDIUM","LOW"))</f>
        <v>MEDIUM</v>
      </c>
    </row>
    <row r="109" customFormat="false" ht="15" hidden="false" customHeight="true" outlineLevel="0" collapsed="false">
      <c r="B109" s="5" t="s">
        <v>397</v>
      </c>
      <c r="C109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(1.5)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(1.5)))*B49*B55+((((B7*1000000*(1)*(B13)))+((B8*1000000*(1)*(B14)))+((B9*1000000*(1)*(B15))))/B38)*B50*B56+((((B4*1000000*(1)*(B10)))*(1-MIN(1,B28*(1))))/B39)*B51*B57)*B62/1000000)*1000000*B58*(1)/1000000000)</f>
        <v>399.482226595232</v>
      </c>
      <c r="D109" s="42" t="n">
        <f aca="false">C109-$B$77</f>
        <v>-21.264939160272</v>
      </c>
    </row>
    <row r="110" customFormat="false" ht="15" hidden="false" customHeight="true" outlineLevel="0" collapsed="false">
      <c r="A110" s="5" t="s">
        <v>402</v>
      </c>
      <c r="B110" s="5" t="s">
        <v>396</v>
      </c>
      <c r="C110" s="42" t="n">
        <f aca="false">(((((((B5*1000000*(1)*(B11)))*MIN(1,B29*(0.5))+((B6*1000000*(1)*(B12)))*MIN(1,B30*(0.5)))*B59+((B4*1000000*(1)*(B10)))*MIN(1,B28*(0.5))*B60)/B34)*B40+(((((B5*1000000*(1)*(B11)))*MIN(1,B29*(0.5))+((B6*1000000*(1)*(B12)))*MIN(1,B30*(0.5)))*(1-B59))/B35)*B41+(((((B5*1000000*(1)*(B11)))*(1-MIN(1,B29*(0.5)))+((B6*1000000*(1)*(B12)))*(1-MIN(1,B30*(0.5)))))/B36)*B42+((((B5*1000000*(1)*(B11)))+((B6*1000000*(1)*(B12))))/(B37*(1)))*B43+((((B7*1000000*(1)*(B13)))+((B8*1000000*(1)*(B14)))+((B9*1000000*(1)*(B15))))/B38)*B44+((((B4*1000000*(1)*(B10)))*(1-MIN(1,B28*(0.5))))/B39)*B45)*(1)/1000000000)+((((((((B5*1000000*(1)*(B11)))*MIN(1,B29*(0.5))+((B6*1000000*(1)*(B12)))*MIN(1,B30*(0.5)))*B59+((B4*1000000*(1)*(B10)))*MIN(1,B28*(0.5))*B60)/B34)*B46*B52+(((((B5*1000000*(1)*(B11)))*MIN(1,B29*(0.5))+((B6*1000000*(1)*(B12)))*MIN(1,B30*(0.5)))*(1-B59))/B35)*B47*B53+(((((B5*1000000*(1)*(B11)))*(1-MIN(1,B29*(0.5)))+((B6*1000000*(1)*(B12)))*(1-MIN(1,B30*(0.5)))))/B36)*B48*B54+((((B5*1000000*(1)*(B11)))+((B6*1000000*(1)*(B12))))/(B37*(1)))*B49*B55+((((B7*1000000*(1)*(B13)))+((B8*1000000*(1)*(B14)))+((B9*1000000*(1)*(B15))))/B38)*B50*B56+((((B4*1000000*(1)*(B10)))*(1-MIN(1,B28*(0.5))))/B39)*B51*B57)*B62/1000000)*1000000*B58*(1)/1000000000)</f>
        <v>429.837470252965</v>
      </c>
      <c r="D110" s="42" t="n">
        <f aca="false">C110-$B$77</f>
        <v>9.09030449746069</v>
      </c>
      <c r="E110" s="42" t="n">
        <f aca="false">ABS(C111-C110)</f>
        <v>18.1806089949214</v>
      </c>
      <c r="F110" s="5" t="str">
        <f aca="false">IF(E110&gt;0.25*$B$77,"HIGH",IF(E110&gt;0.08*$B$77,"MEDIUM","LOW"))</f>
        <v>LOW</v>
      </c>
    </row>
    <row r="111" customFormat="false" ht="15" hidden="false" customHeight="true" outlineLevel="0" collapsed="false">
      <c r="B111" s="5" t="s">
        <v>397</v>
      </c>
      <c r="C111" s="42" t="n">
        <f aca="false">(((((((B5*1000000*(1)*(B11)))*MIN(1,B29*(1.5))+((B6*1000000*(1)*(B12)))*MIN(1,B30*(1.5)))*B59+((B4*1000000*(1)*(B10)))*MIN(1,B28*(1.5))*B60)/B34)*B40+(((((B5*1000000*(1)*(B11)))*MIN(1,B29*(1.5))+((B6*1000000*(1)*(B12)))*MIN(1,B30*(1.5)))*(1-B59))/B35)*B41+(((((B5*1000000*(1)*(B11)))*(1-MIN(1,B29*(1.5)))+((B6*1000000*(1)*(B12)))*(1-MIN(1,B30*(1.5)))))/B36)*B42+((((B5*1000000*(1)*(B11)))+((B6*1000000*(1)*(B12))))/(B37*(1)))*B43+((((B7*1000000*(1)*(B13)))+((B8*1000000*(1)*(B14)))+((B9*1000000*(1)*(B15))))/B38)*B44+((((B4*1000000*(1)*(B10)))*(1-MIN(1,B28*(1.5))))/B39)*B45)*(1)/1000000000)+((((((((B5*1000000*(1)*(B11)))*MIN(1,B29*(1.5))+((B6*1000000*(1)*(B12)))*MIN(1,B30*(1.5)))*B59+((B4*1000000*(1)*(B10)))*MIN(1,B28*(1.5))*B60)/B34)*B46*B52+(((((B5*1000000*(1)*(B11)))*MIN(1,B29*(1.5))+((B6*1000000*(1)*(B12)))*MIN(1,B30*(1.5)))*(1-B59))/B35)*B47*B53+(((((B5*1000000*(1)*(B11)))*(1-MIN(1,B29*(1.5)))+((B6*1000000*(1)*(B12)))*(1-MIN(1,B30*(1.5)))))/B36)*B48*B54+((((B5*1000000*(1)*(B11)))+((B6*1000000*(1)*(B12))))/(B37*(1)))*B49*B55+((((B7*1000000*(1)*(B13)))+((B8*1000000*(1)*(B14)))+((B9*1000000*(1)*(B15))))/B38)*B50*B56+((((B4*1000000*(1)*(B10)))*(1-MIN(1,B28*(1.5))))/B39)*B51*B57)*B62/1000000)*1000000*B58*(1)/1000000000)</f>
        <v>411.656861258044</v>
      </c>
      <c r="D111" s="42" t="n">
        <f aca="false">C111-$B$77</f>
        <v>-9.09030449746069</v>
      </c>
    </row>
    <row r="112" customFormat="false" ht="15" hidden="false" customHeight="true" outlineLevel="0" collapsed="false">
      <c r="A112" s="5" t="s">
        <v>403</v>
      </c>
      <c r="B112" s="5" t="s">
        <v>393</v>
      </c>
      <c r="C112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2" s="42" t="n">
        <f aca="false">C112-$B$77</f>
        <v>0</v>
      </c>
      <c r="E112" s="42" t="n">
        <f aca="false">ABS(C113-C112)</f>
        <v>0</v>
      </c>
      <c r="F112" s="5" t="str">
        <f aca="false">IF(E112&gt;0.25*$B$77,"HIGH",IF(E112&gt;0.08*$B$77,"MEDIUM","LOW"))</f>
        <v>LOW</v>
      </c>
    </row>
    <row r="113" customFormat="false" ht="15" hidden="false" customHeight="true" outlineLevel="0" collapsed="false">
      <c r="B113" s="5" t="s">
        <v>394</v>
      </c>
      <c r="C113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3" s="42" t="n">
        <f aca="false">C113-$B$77</f>
        <v>0</v>
      </c>
    </row>
    <row r="114" customFormat="false" ht="15" hidden="false" customHeight="true" outlineLevel="0" collapsed="false">
      <c r="A114" s="5" t="s">
        <v>404</v>
      </c>
      <c r="B114" s="5" t="s">
        <v>393</v>
      </c>
      <c r="C114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4" s="42" t="n">
        <f aca="false">C114-$B$77</f>
        <v>0</v>
      </c>
      <c r="E114" s="42" t="n">
        <f aca="false">ABS(C115-C114)</f>
        <v>0</v>
      </c>
      <c r="F114" s="5" t="str">
        <f aca="false">IF(E114&gt;0.25*$B$77,"HIGH",IF(E114&gt;0.08*$B$77,"MEDIUM","LOW"))</f>
        <v>LOW</v>
      </c>
    </row>
    <row r="115" customFormat="false" ht="15" hidden="false" customHeight="true" outlineLevel="0" collapsed="false">
      <c r="B115" s="5" t="s">
        <v>394</v>
      </c>
      <c r="C115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5" s="42" t="n">
        <f aca="false">C115-$B$77</f>
        <v>0</v>
      </c>
    </row>
    <row r="116" customFormat="false" ht="39" hidden="false" customHeight="true" outlineLevel="0" collapsed="false">
      <c r="A116" s="78" t="s">
        <v>405</v>
      </c>
      <c r="B116" s="78"/>
      <c r="C116" s="78"/>
      <c r="D116" s="78"/>
      <c r="E116" s="78"/>
      <c r="F116" s="78"/>
      <c r="G116" s="78"/>
      <c r="H116" s="78"/>
    </row>
    <row r="118" customFormat="false" ht="15" hidden="false" customHeight="true" outlineLevel="0" collapsed="false">
      <c r="A118" s="77" t="s">
        <v>406</v>
      </c>
      <c r="B118" s="77"/>
      <c r="C118" s="77"/>
      <c r="D118" s="77"/>
      <c r="E118" s="77"/>
      <c r="F118" s="77"/>
      <c r="G118" s="77"/>
      <c r="H118" s="77"/>
    </row>
    <row r="119" customFormat="false" ht="15" hidden="false" customHeight="true" outlineLevel="0" collapsed="false">
      <c r="A119" s="76" t="s">
        <v>407</v>
      </c>
      <c r="B119" s="76" t="s">
        <v>408</v>
      </c>
      <c r="C119" s="76" t="s">
        <v>409</v>
      </c>
      <c r="D119" s="76" t="s">
        <v>410</v>
      </c>
      <c r="E119" s="76" t="s">
        <v>411</v>
      </c>
      <c r="F119" s="76" t="s">
        <v>412</v>
      </c>
    </row>
    <row r="120" customFormat="false" ht="15" hidden="false" customHeight="true" outlineLevel="0" collapsed="false">
      <c r="A120" s="5" t="s">
        <v>413</v>
      </c>
      <c r="B120" s="5" t="s">
        <v>414</v>
      </c>
      <c r="C120" s="42" t="n">
        <f aca="false">MIN(D100,D101)</f>
        <v>-58.6626173100689</v>
      </c>
      <c r="D120" s="42" t="n">
        <f aca="false">MAX(D100,D101)</f>
        <v>43.6295158121857</v>
      </c>
      <c r="E120" s="5" t="s">
        <v>415</v>
      </c>
      <c r="F120" s="5" t="s">
        <v>416</v>
      </c>
    </row>
    <row r="121" customFormat="false" ht="15" hidden="false" customHeight="true" outlineLevel="0" collapsed="false">
      <c r="A121" s="5" t="s">
        <v>417</v>
      </c>
      <c r="B121" s="5" t="s">
        <v>418</v>
      </c>
      <c r="C121" s="42" t="n">
        <f aca="false">MIN(D102,D103)</f>
        <v>-80.4078359534258</v>
      </c>
      <c r="D121" s="42" t="n">
        <f aca="false">MAX(D102,D103)</f>
        <v>80.4078359534259</v>
      </c>
      <c r="E121" s="5" t="s">
        <v>415</v>
      </c>
      <c r="F121" s="5" t="s">
        <v>416</v>
      </c>
    </row>
    <row r="122" customFormat="false" ht="15" hidden="false" customHeight="true" outlineLevel="0" collapsed="false">
      <c r="A122" s="5" t="s">
        <v>419</v>
      </c>
      <c r="B122" s="5" t="s">
        <v>420</v>
      </c>
      <c r="C122" s="42" t="n">
        <f aca="false">MIN(D104,D105)</f>
        <v>-76.3605229553758</v>
      </c>
      <c r="D122" s="42" t="n">
        <f aca="false">MAX(D104,D105)</f>
        <v>76.3605229553759</v>
      </c>
      <c r="E122" s="5" t="s">
        <v>415</v>
      </c>
      <c r="F122" s="5" t="s">
        <v>416</v>
      </c>
    </row>
    <row r="123" customFormat="false" ht="15" hidden="false" customHeight="true" outlineLevel="0" collapsed="false">
      <c r="A123" s="5" t="s">
        <v>421</v>
      </c>
      <c r="B123" s="5" t="s">
        <v>422</v>
      </c>
      <c r="C123" s="42" t="n">
        <f aca="false">MIN(D106,D107)</f>
        <v>-84.3273433885323</v>
      </c>
      <c r="D123" s="42" t="n">
        <f aca="false">MAX(D106,D107)</f>
        <v>43.9591691891808</v>
      </c>
      <c r="E123" s="5" t="s">
        <v>415</v>
      </c>
      <c r="F123" s="5" t="s">
        <v>416</v>
      </c>
    </row>
    <row r="124" customFormat="false" ht="15" hidden="false" customHeight="true" outlineLevel="0" collapsed="false">
      <c r="A124" s="5" t="s">
        <v>423</v>
      </c>
      <c r="B124" s="5" t="s">
        <v>420</v>
      </c>
      <c r="C124" s="42" t="n">
        <f aca="false">MIN(D108,D109)</f>
        <v>-21.264939160272</v>
      </c>
      <c r="D124" s="42" t="n">
        <f aca="false">MAX(D108,D109)</f>
        <v>63.794817480816</v>
      </c>
      <c r="E124" s="5" t="s">
        <v>415</v>
      </c>
      <c r="F124" s="5" t="s">
        <v>416</v>
      </c>
    </row>
    <row r="125" customFormat="false" ht="15" hidden="false" customHeight="true" outlineLevel="0" collapsed="false">
      <c r="A125" s="5" t="s">
        <v>5</v>
      </c>
      <c r="B125" s="5" t="s">
        <v>420</v>
      </c>
      <c r="C125" s="42" t="n">
        <f aca="false">MIN(D110,D111)</f>
        <v>-9.09030449746069</v>
      </c>
      <c r="D125" s="42" t="n">
        <f aca="false">MAX(D110,D111)</f>
        <v>9.09030449746069</v>
      </c>
      <c r="E125" s="5" t="s">
        <v>415</v>
      </c>
      <c r="F125" s="5" t="s">
        <v>416</v>
      </c>
    </row>
    <row r="126" customFormat="false" ht="15" hidden="false" customHeight="true" outlineLevel="0" collapsed="false">
      <c r="A126" s="5" t="s">
        <v>424</v>
      </c>
      <c r="B126" s="79" t="n">
        <v>5000</v>
      </c>
      <c r="C126" s="79"/>
      <c r="D126" s="79"/>
      <c r="E126" s="79"/>
      <c r="F126" s="79"/>
      <c r="G126" s="79"/>
      <c r="H126" s="79"/>
    </row>
    <row r="127" customFormat="false" ht="15" hidden="false" customHeight="true" outlineLevel="0" collapsed="false">
      <c r="A127" s="5" t="s">
        <v>425</v>
      </c>
      <c r="B127" s="79" t="s">
        <v>426</v>
      </c>
      <c r="C127" s="79"/>
      <c r="D127" s="79"/>
      <c r="E127" s="79"/>
      <c r="F127" s="79"/>
      <c r="G127" s="79"/>
      <c r="H127" s="79"/>
    </row>
    <row r="128" customFormat="false" ht="15" hidden="false" customHeight="true" outlineLevel="0" collapsed="false">
      <c r="A128" s="5" t="s">
        <v>427</v>
      </c>
      <c r="B128" s="79" t="s">
        <v>428</v>
      </c>
      <c r="C128" s="79"/>
      <c r="D128" s="79"/>
      <c r="E128" s="79"/>
      <c r="F128" s="79"/>
      <c r="G128" s="79"/>
      <c r="H128" s="79"/>
    </row>
    <row r="129" customFormat="false" ht="15" hidden="false" customHeight="true" outlineLevel="0" collapsed="false">
      <c r="A129" s="5" t="s">
        <v>429</v>
      </c>
      <c r="B129" s="79" t="s">
        <v>430</v>
      </c>
      <c r="C129" s="79"/>
      <c r="D129" s="79"/>
      <c r="E129" s="79"/>
      <c r="F129" s="79"/>
      <c r="G129" s="79"/>
      <c r="H129" s="79"/>
    </row>
    <row r="130" customFormat="false" ht="15" hidden="false" customHeight="true" outlineLevel="0" collapsed="false">
      <c r="A130" s="5" t="s">
        <v>431</v>
      </c>
      <c r="B130" s="79" t="s">
        <v>432</v>
      </c>
      <c r="C130" s="79"/>
      <c r="D130" s="79"/>
      <c r="E130" s="79"/>
      <c r="F130" s="79"/>
      <c r="G130" s="79"/>
      <c r="H130" s="79"/>
    </row>
    <row r="131" customFormat="false" ht="15" hidden="false" customHeight="true" outlineLevel="0" collapsed="false">
      <c r="A131" s="5" t="s">
        <v>433</v>
      </c>
      <c r="B131" s="79" t="s">
        <v>434</v>
      </c>
      <c r="C131" s="79"/>
      <c r="D131" s="79"/>
      <c r="E131" s="79"/>
      <c r="F131" s="79"/>
      <c r="G131" s="79"/>
      <c r="H131" s="79"/>
    </row>
    <row r="132" customFormat="false" ht="15" hidden="false" customHeight="true" outlineLevel="0" collapsed="false">
      <c r="A132" s="5" t="s">
        <v>435</v>
      </c>
      <c r="B132" s="5" t="s">
        <v>436</v>
      </c>
      <c r="C132" s="42" t="n">
        <f aca="false">B77</f>
        <v>420.747165755504</v>
      </c>
      <c r="D132" s="5" t="n">
        <f aca="false">C132-$B$77</f>
        <v>0</v>
      </c>
      <c r="E132" s="5" t="n">
        <f aca="false">ABS(C133-C132)</f>
        <v>16.9690051011946</v>
      </c>
      <c r="F132" s="5" t="str">
        <f aca="false">IF(E132&gt;0.25*$B$77,"HIGH",IF(E132&gt;0.08*$B$77,"MEDIUM","LOW"))</f>
        <v>LOW</v>
      </c>
    </row>
    <row r="133" customFormat="false" ht="15" hidden="false" customHeight="true" outlineLevel="0" collapsed="false">
      <c r="B133" s="5" t="s">
        <v>437</v>
      </c>
      <c r="C133" s="5" t="n">
        <f aca="false">'Results Scenario B'!T39+'Results Scenario B'!S39*(1/Assumptions!B62-1)</f>
        <v>437.716170856699</v>
      </c>
      <c r="D133" s="5" t="n">
        <f aca="false">C133-$B$77</f>
        <v>16.9690051011946</v>
      </c>
    </row>
    <row r="135" customFormat="false" ht="15" hidden="false" customHeight="true" outlineLevel="0" collapsed="false">
      <c r="A135" s="20" t="s">
        <v>438</v>
      </c>
      <c r="B135" s="20"/>
      <c r="C135" s="20"/>
      <c r="D135" s="20"/>
      <c r="E135" s="20"/>
      <c r="F135" s="20"/>
      <c r="G135" s="20"/>
      <c r="H135" s="20"/>
    </row>
    <row r="136" customFormat="false" ht="15" hidden="false" customHeight="true" outlineLevel="0" collapsed="false">
      <c r="A136" s="5" t="s">
        <v>439</v>
      </c>
      <c r="B136" s="42" t="n">
        <f aca="false">'Delivery check'!F18*1.3</f>
        <v>150.575336561134</v>
      </c>
    </row>
    <row r="137" customFormat="false" ht="15" hidden="false" customHeight="true" outlineLevel="0" collapsed="false">
      <c r="A137" s="5" t="s">
        <v>440</v>
      </c>
      <c r="B137" s="42" t="n">
        <f aca="false">'Delivery check'!E18</f>
        <v>132.625441854245</v>
      </c>
    </row>
    <row r="138" customFormat="false" ht="15" hidden="false" customHeight="true" outlineLevel="0" collapsed="false">
      <c r="A138" s="5" t="s">
        <v>441</v>
      </c>
      <c r="B138" s="41" t="n">
        <f aca="false">MAX(0,B136-B137)*1000000000/(Assumptions!$C$36*8760*Assumptions!$B$77)</f>
        <v>372559.043314436</v>
      </c>
    </row>
    <row r="139" customFormat="false" ht="15" hidden="false" customHeight="true" outlineLevel="0" collapsed="false">
      <c r="A139" s="5" t="s">
        <v>442</v>
      </c>
      <c r="B139" s="53" t="n">
        <f aca="false">B138*Assumptions!$B$36/1000000000</f>
        <v>2.0490747382294</v>
      </c>
    </row>
    <row r="140" customFormat="false" ht="15" hidden="false" customHeight="true" outlineLevel="0" collapsed="false">
      <c r="A140" s="5" t="s">
        <v>443</v>
      </c>
      <c r="B140" s="53" t="n">
        <f aca="false">B138*Assumptions!$C$36*Assumptions!$D$36*Assumptions!$B$62*Assumptions!$B$43/1000000000</f>
        <v>0.995850322779487</v>
      </c>
    </row>
    <row r="141" customFormat="false" ht="15" hidden="false" customHeight="true" outlineLevel="0" collapsed="false">
      <c r="A141" s="5" t="s">
        <v>444</v>
      </c>
      <c r="B141" s="80" t="n">
        <f aca="false">B139+B140</f>
        <v>3.04492506100889</v>
      </c>
      <c r="C141" s="64" t="n">
        <f aca="false">B141/$B$77</f>
        <v>0.00723694729004613</v>
      </c>
    </row>
    <row r="142" customFormat="false" ht="15" hidden="false" customHeight="true" outlineLevel="0" collapsed="false">
      <c r="A142" s="5" t="s">
        <v>445</v>
      </c>
      <c r="B142" s="53" t="n">
        <f aca="false">MIN('Delivery check'!G16,'Delivery check'!G17,'Delivery check'!G19,'Delivery check'!G20,'Delivery check'!G21)/1.3</f>
        <v>2.07805841671645</v>
      </c>
    </row>
  </sheetData>
  <mergeCells count="11">
    <mergeCell ref="A3:H3"/>
    <mergeCell ref="A98:H98"/>
    <mergeCell ref="A116:H116"/>
    <mergeCell ref="A118:H118"/>
    <mergeCell ref="B126:H126"/>
    <mergeCell ref="B127:H127"/>
    <mergeCell ref="B128:H128"/>
    <mergeCell ref="B129:H129"/>
    <mergeCell ref="B130:H130"/>
    <mergeCell ref="B131:H131"/>
    <mergeCell ref="A135:H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446</v>
      </c>
    </row>
    <row r="3" customFormat="false" ht="15" hidden="false" customHeight="true" outlineLevel="0" collapsed="false">
      <c r="A3" s="46" t="s">
        <v>447</v>
      </c>
      <c r="B3" s="46" t="s">
        <v>448</v>
      </c>
      <c r="C3" s="46" t="s">
        <v>449</v>
      </c>
      <c r="D3" s="46" t="s">
        <v>450</v>
      </c>
      <c r="E3" s="46" t="s">
        <v>451</v>
      </c>
    </row>
    <row r="4" customFormat="false" ht="15" hidden="false" customHeight="true" outlineLevel="0" collapsed="false">
      <c r="A4" s="5" t="s">
        <v>452</v>
      </c>
      <c r="B4" s="40" t="n">
        <f aca="false">'Fleet projections'!D72</f>
        <v>0.465365138539446</v>
      </c>
      <c r="C4" s="40" t="n">
        <f aca="false">B4*(1-Assumptions!$B$82)</f>
        <v>0.418828624685501</v>
      </c>
    </row>
    <row r="5" customFormat="false" ht="15" hidden="false" customHeight="true" outlineLevel="0" collapsed="false">
      <c r="A5" s="5" t="s">
        <v>453</v>
      </c>
      <c r="B5" s="40" t="n">
        <f aca="false">'Fleet projections'!G72</f>
        <v>0.000777996888012448</v>
      </c>
      <c r="C5" s="40" t="n">
        <f aca="false">B5+B4*Assumptions!$B$82/Assumptions!$B$83</f>
        <v>0.00519516014809773</v>
      </c>
    </row>
    <row r="6" customFormat="false" ht="15" hidden="false" customHeight="true" outlineLevel="0" collapsed="false">
      <c r="A6" s="5" t="s">
        <v>454</v>
      </c>
      <c r="B6" s="41" t="n">
        <f aca="false">'Results Scenario B'!D39</f>
        <v>45992857.2546692</v>
      </c>
      <c r="C6" s="41" t="n">
        <f aca="false">'Results Scenario B'!B39*C4*'EV adoption'!C54</f>
        <v>41393571.5292023</v>
      </c>
    </row>
    <row r="7" customFormat="false" ht="15" hidden="false" customHeight="true" outlineLevel="0" collapsed="false">
      <c r="A7" s="5" t="s">
        <v>455</v>
      </c>
      <c r="B7" s="41" t="n">
        <f aca="false">'Results Scenario B'!G39</f>
        <v>76939.261480932</v>
      </c>
      <c r="C7" s="41" t="n">
        <f aca="false">'Results Scenario B'!B39*C5*'EV adoption'!F54</f>
        <v>513770.416345693</v>
      </c>
    </row>
    <row r="8" customFormat="false" ht="15" hidden="false" customHeight="true" outlineLevel="0" collapsed="false">
      <c r="A8" s="5" t="s">
        <v>268</v>
      </c>
      <c r="B8" s="42" t="n">
        <f aca="false">'Results Scenario B'!J39</f>
        <v>560.478950744644</v>
      </c>
      <c r="C8" s="42" t="n">
        <f aca="false">B8+((C6-B6)*Assumptions!$B$7*Assumptions!$C$7+(C7-B7)*Assumptions!$B$10*Assumptions!$C$10)*Assumptions!$B$61/1000000000</f>
        <v>539.913568747314</v>
      </c>
      <c r="D8" s="42" t="n">
        <f aca="false">C8-B8</f>
        <v>-20.5653819973304</v>
      </c>
      <c r="E8" s="64" t="n">
        <f aca="false">IF(B8=0,"",D8/B8)</f>
        <v>-0.0366925144468094</v>
      </c>
    </row>
    <row r="9" customFormat="false" ht="15" hidden="false" customHeight="true" outlineLevel="0" collapsed="false">
      <c r="A9" s="5" t="s">
        <v>270</v>
      </c>
      <c r="B9" s="41" t="n">
        <f aca="false">'Results Scenario B'!L39</f>
        <v>34737831.6375866</v>
      </c>
      <c r="C9" s="41" t="n">
        <f aca="false">B9+(C6-B6)*Assumptions!$D$7*Assumptions!$B$51/Assumptions!$B$52</f>
        <v>33450031.6344559</v>
      </c>
      <c r="D9" s="5" t="n">
        <f aca="false">C9-B9</f>
        <v>-1287800.00313074</v>
      </c>
      <c r="E9" s="64" t="n">
        <f aca="false">IF(B9=0,"",D9/B9)</f>
        <v>-0.0370719743410043</v>
      </c>
    </row>
    <row r="10" customFormat="false" ht="15" hidden="false" customHeight="true" outlineLevel="0" collapsed="false">
      <c r="A10" s="5" t="s">
        <v>271</v>
      </c>
      <c r="B10" s="41" t="n">
        <f aca="false">'Results Scenario B'!M39</f>
        <v>5181797.25529471</v>
      </c>
      <c r="C10" s="41" t="n">
        <f aca="false">B10+(C6-B6)*Assumptions!$D$7*(1-Assumptions!$B$51)/Assumptions!$B$26</f>
        <v>4721868.68274802</v>
      </c>
      <c r="D10" s="5" t="n">
        <f aca="false">C10-B10</f>
        <v>-459928.572546693</v>
      </c>
      <c r="E10" s="64" t="n">
        <f aca="false">IF(B10=0,"",D10/B10)</f>
        <v>-0.0887585040261353</v>
      </c>
    </row>
    <row r="11" customFormat="false" ht="15" hidden="false" customHeight="true" outlineLevel="0" collapsed="false">
      <c r="A11" s="5" t="s">
        <v>272</v>
      </c>
      <c r="B11" s="41" t="n">
        <f aca="false">'Results Scenario B'!N39</f>
        <v>2752707.38593285</v>
      </c>
      <c r="C11" s="41" t="n">
        <f aca="false">B11+(C6-B6)*(1-Assumptions!$D$7)/Assumptions!$B$27</f>
        <v>2522743.09965951</v>
      </c>
      <c r="D11" s="5" t="n">
        <f aca="false">C11-B11</f>
        <v>-229964.286273346</v>
      </c>
      <c r="E11" s="64" t="n">
        <f aca="false">IF(B11=0,"",D11/B11)</f>
        <v>-0.0835411302518138</v>
      </c>
    </row>
    <row r="12" customFormat="false" ht="15" hidden="false" customHeight="true" outlineLevel="0" collapsed="false">
      <c r="A12" s="5" t="s">
        <v>37</v>
      </c>
      <c r="B12" s="41" t="n">
        <f aca="false">'Results Scenario B'!O39</f>
        <v>895994.627539551</v>
      </c>
      <c r="C12" s="41" t="n">
        <f aca="false">B12+(C6-B6)/Assumptions!$B$28</f>
        <v>819339.865448436</v>
      </c>
      <c r="D12" s="5" t="n">
        <f aca="false">C12-B12</f>
        <v>-76654.7620911154</v>
      </c>
      <c r="E12" s="64" t="n">
        <f aca="false">IF(B12=0,"",D12/B12)</f>
        <v>-0.0855527028120843</v>
      </c>
    </row>
    <row r="13" customFormat="false" ht="15" hidden="false" customHeight="true" outlineLevel="0" collapsed="false">
      <c r="A13" s="5" t="s">
        <v>273</v>
      </c>
      <c r="B13" s="41" t="n">
        <f aca="false">'Results Scenario B'!P39</f>
        <v>1889011.09935437</v>
      </c>
      <c r="C13" s="41" t="n">
        <f aca="false">B13+(C7-B7)/Assumptions!$B$29</f>
        <v>2063743.56130027</v>
      </c>
      <c r="D13" s="5" t="n">
        <f aca="false">C13-B13</f>
        <v>174732.461945904</v>
      </c>
      <c r="E13" s="64" t="n">
        <f aca="false">IF(B13=0,"",D13/B13)</f>
        <v>0.0924994363482696</v>
      </c>
    </row>
    <row r="14" customFormat="false" ht="15" hidden="false" customHeight="true" outlineLevel="0" collapsed="false">
      <c r="A14" s="5" t="s">
        <v>274</v>
      </c>
      <c r="B14" s="41" t="n">
        <f aca="false">'Results Scenario B'!Q39</f>
        <v>80915.1972910457</v>
      </c>
      <c r="C14" s="41" t="n">
        <f aca="false">B14</f>
        <v>80915.1972910457</v>
      </c>
      <c r="D14" s="5" t="n">
        <f aca="false">C14-B14</f>
        <v>0</v>
      </c>
      <c r="E14" s="64" t="n">
        <f aca="false">IF(B14=0,"",D14/B14)</f>
        <v>0</v>
      </c>
    </row>
    <row r="15" customFormat="false" ht="15" hidden="false" customHeight="true" outlineLevel="0" collapsed="false">
      <c r="A15" s="5" t="s">
        <v>456</v>
      </c>
      <c r="B15" s="42" t="n">
        <f aca="false">'Results Scenario B'!K39</f>
        <v>339.380102023893</v>
      </c>
      <c r="C15" s="42" t="n">
        <f aca="false">(C9*Assumptions!$B$54*Assumptions!$B$55+C10*Assumptions!$C$35*Assumptions!$D$35+C11*Assumptions!$C$36*Assumptions!$D$36+C12*Assumptions!$C$37*Assumptions!$D$37+C13*Assumptions!$C$38*Assumptions!$D$38+C14*Assumptions!$C$39*Assumptions!$D$39)*Assumptions!$B$62/1000000</f>
        <v>357.43107643027</v>
      </c>
      <c r="D15" s="42" t="n">
        <f aca="false">C15-B15</f>
        <v>18.0509744063768</v>
      </c>
      <c r="E15" s="64" t="n">
        <f aca="false">IF(B15=0,"",D15/B15)</f>
        <v>0.0531880752546478</v>
      </c>
    </row>
    <row r="16" customFormat="false" ht="15" hidden="false" customHeight="true" outlineLevel="0" collapsed="false">
      <c r="A16" s="5" t="s">
        <v>275</v>
      </c>
      <c r="B16" s="42" t="n">
        <f aca="false">'Results Scenario B'!R39</f>
        <v>268.026119844753</v>
      </c>
      <c r="C16" s="42" t="n">
        <f aca="false">(C9*Assumptions!$B$53+C10*Assumptions!$B$35+C11*Assumptions!$B$36+C12*Assumptions!$B$37+C13*Assumptions!$B$38+C14*Assumptions!$B$39)/1000000000</f>
        <v>276.450110761194</v>
      </c>
      <c r="D16" s="42" t="n">
        <f aca="false">C16-B16</f>
        <v>8.42399091644091</v>
      </c>
      <c r="E16" s="64" t="n">
        <f aca="false">IF(B16=0,"",D16/B16)</f>
        <v>0.0314297387184514</v>
      </c>
    </row>
    <row r="17" customFormat="false" ht="15" hidden="false" customHeight="true" outlineLevel="0" collapsed="false">
      <c r="A17" s="5" t="s">
        <v>276</v>
      </c>
      <c r="B17" s="42" t="n">
        <f aca="false">'Results Scenario B'!S39</f>
        <v>152.721045910752</v>
      </c>
      <c r="C17" s="42" t="n">
        <f aca="false">C15*1000000*Assumptions!$B$43/1000000000</f>
        <v>160.843984393621</v>
      </c>
      <c r="D17" s="42" t="n">
        <f aca="false">C17-B17</f>
        <v>8.12293848286959</v>
      </c>
      <c r="E17" s="64" t="n">
        <f aca="false">IF(B17=0,"",D17/B17)</f>
        <v>0.0531880752546478</v>
      </c>
    </row>
    <row r="18" customFormat="false" ht="15" hidden="false" customHeight="true" outlineLevel="0" collapsed="false">
      <c r="A18" s="5" t="s">
        <v>277</v>
      </c>
      <c r="B18" s="42" t="n">
        <f aca="false">'Results Scenario B'!T39</f>
        <v>420.747165755504</v>
      </c>
      <c r="C18" s="81" t="n">
        <f aca="false">C16+C17</f>
        <v>437.294095154815</v>
      </c>
      <c r="D18" s="42" t="n">
        <f aca="false">C18-B18</f>
        <v>16.5469293993106</v>
      </c>
      <c r="E18" s="64" t="n">
        <f aca="false">IF(B18=0,"",D18/B18)</f>
        <v>0.0393274886821839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7.25" hidden="false" customHeight="true" outlineLevel="0" collapsed="false">
      <c r="A1" s="44" t="s">
        <v>457</v>
      </c>
    </row>
    <row r="3" customFormat="false" ht="15" hidden="false" customHeight="true" outlineLevel="0" collapsed="false">
      <c r="A3" s="46" t="s">
        <v>458</v>
      </c>
      <c r="B3" s="46" t="s">
        <v>459</v>
      </c>
      <c r="C3" s="46" t="s">
        <v>460</v>
      </c>
      <c r="D3" s="46" t="s">
        <v>461</v>
      </c>
    </row>
    <row r="4" customFormat="false" ht="15" hidden="false" customHeight="true" outlineLevel="0" collapsed="false">
      <c r="A4" s="5" t="s">
        <v>260</v>
      </c>
      <c r="B4" s="41" t="n">
        <f aca="false">'Results Scenario A'!B39</f>
        <v>158769160.156543</v>
      </c>
      <c r="C4" s="41" t="n">
        <f aca="false">'Results Scenario B'!B39</f>
        <v>104023244.539157</v>
      </c>
      <c r="D4" s="41" t="n">
        <f aca="false">'Results Scenario C'!B39</f>
        <v>52844584.5516687</v>
      </c>
    </row>
    <row r="5" customFormat="false" ht="15" hidden="false" customHeight="true" outlineLevel="0" collapsed="false">
      <c r="A5" s="5" t="s">
        <v>267</v>
      </c>
      <c r="B5" s="41" t="n">
        <f aca="false">'Results Scenario A'!I39</f>
        <v>151010379.113564</v>
      </c>
      <c r="C5" s="41" t="n">
        <f aca="false">'Results Scenario B'!I39</f>
        <v>98939804.0462818</v>
      </c>
      <c r="D5" s="41" t="n">
        <f aca="false">'Results Scenario C'!I39</f>
        <v>50262158.8435568</v>
      </c>
    </row>
    <row r="6" customFormat="false" ht="15" hidden="false" customHeight="true" outlineLevel="0" collapsed="false">
      <c r="A6" s="5" t="s">
        <v>462</v>
      </c>
      <c r="B6" s="64" t="n">
        <f aca="false">'Results Scenario A'!I39/'Results Scenario A'!B39</f>
        <v>0.951131686812925</v>
      </c>
      <c r="C6" s="64" t="n">
        <f aca="false">'Results Scenario B'!I39/'Results Scenario B'!B39</f>
        <v>0.951131686812925</v>
      </c>
      <c r="D6" s="64" t="n">
        <f aca="false">'Results Scenario C'!I39/'Results Scenario C'!B39</f>
        <v>0.951131686812925</v>
      </c>
    </row>
    <row r="7" customFormat="false" ht="15" hidden="false" customHeight="true" outlineLevel="0" collapsed="false">
      <c r="A7" s="5" t="s">
        <v>268</v>
      </c>
      <c r="B7" s="42" t="n">
        <f aca="false">'Results Scenario A'!J39</f>
        <v>855.450843601119</v>
      </c>
      <c r="C7" s="42" t="n">
        <f aca="false">'Results Scenario B'!J39</f>
        <v>560.478950744644</v>
      </c>
      <c r="D7" s="42" t="n">
        <f aca="false">'Results Scenario C'!J39</f>
        <v>284.727489834321</v>
      </c>
    </row>
    <row r="8" customFormat="false" ht="15" hidden="false" customHeight="true" outlineLevel="0" collapsed="false">
      <c r="A8" s="5" t="s">
        <v>278</v>
      </c>
      <c r="B8" s="42" t="n">
        <f aca="false">'Results Scenario A'!U39</f>
        <v>192.693089014307</v>
      </c>
      <c r="C8" s="42" t="n">
        <f aca="false">'Results Scenario B'!U39</f>
        <v>126.249709325019</v>
      </c>
      <c r="D8" s="42" t="n">
        <f aca="false">'Results Scenario C'!U39</f>
        <v>64.1357945390578</v>
      </c>
    </row>
    <row r="9" customFormat="false" ht="15" hidden="false" customHeight="true" outlineLevel="0" collapsed="false">
      <c r="A9" s="5" t="s">
        <v>463</v>
      </c>
      <c r="B9" s="42" t="n">
        <f aca="false">'Results Scenario A'!K39</f>
        <v>517.990897235398</v>
      </c>
      <c r="C9" s="42" t="n">
        <f aca="false">'Results Scenario B'!K39</f>
        <v>339.380102023893</v>
      </c>
      <c r="D9" s="42" t="n">
        <f aca="false">'Results Scenario C'!K39</f>
        <v>172.407624622827</v>
      </c>
    </row>
    <row r="10" customFormat="false" ht="15" hidden="false" customHeight="true" outlineLevel="0" collapsed="false">
      <c r="A10" s="5" t="s">
        <v>270</v>
      </c>
      <c r="B10" s="41" t="n">
        <f aca="false">'Results Scenario A'!L39</f>
        <v>53019845.5084998</v>
      </c>
      <c r="C10" s="41" t="n">
        <f aca="false">'Results Scenario B'!L39</f>
        <v>34737831.6375866</v>
      </c>
      <c r="D10" s="41" t="n">
        <f aca="false">'Results Scenario C'!L39</f>
        <v>17647077.7204327</v>
      </c>
    </row>
    <row r="11" customFormat="false" ht="15" hidden="false" customHeight="true" outlineLevel="0" collapsed="false">
      <c r="A11" s="5" t="s">
        <v>271</v>
      </c>
      <c r="B11" s="41" t="n">
        <f aca="false">'Results Scenario A'!M39</f>
        <v>7908901.53416556</v>
      </c>
      <c r="C11" s="41" t="n">
        <f aca="false">'Results Scenario B'!M39</f>
        <v>5181797.25529471</v>
      </c>
      <c r="D11" s="41" t="n">
        <f aca="false">'Results Scenario C'!M39</f>
        <v>2632391.67745772</v>
      </c>
    </row>
    <row r="12" customFormat="false" ht="15" hidden="false" customHeight="true" outlineLevel="0" collapsed="false">
      <c r="A12" s="5" t="s">
        <v>272</v>
      </c>
      <c r="B12" s="41" t="n">
        <f aca="false">'Results Scenario A'!N39</f>
        <v>4201417.11362171</v>
      </c>
      <c r="C12" s="41" t="n">
        <f aca="false">'Results Scenario B'!N39</f>
        <v>2752707.38593285</v>
      </c>
      <c r="D12" s="41" t="n">
        <f aca="false">'Results Scenario C'!N39</f>
        <v>1398395.89551713</v>
      </c>
    </row>
    <row r="13" customFormat="false" ht="15" hidden="false" customHeight="true" outlineLevel="0" collapsed="false">
      <c r="A13" s="5" t="s">
        <v>37</v>
      </c>
      <c r="B13" s="41" t="n">
        <f aca="false">'Results Scenario A'!O39</f>
        <v>1367543.52500205</v>
      </c>
      <c r="C13" s="41" t="n">
        <f aca="false">'Results Scenario B'!O39</f>
        <v>895994.627539551</v>
      </c>
      <c r="D13" s="41" t="n">
        <f aca="false">'Results Scenario C'!O39</f>
        <v>455171.957600606</v>
      </c>
    </row>
    <row r="14" customFormat="false" ht="15" hidden="false" customHeight="true" outlineLevel="0" collapsed="false">
      <c r="A14" s="5" t="s">
        <v>273</v>
      </c>
      <c r="B14" s="41" t="n">
        <f aca="false">'Results Scenario A'!P39</f>
        <v>2883170.07510743</v>
      </c>
      <c r="C14" s="41" t="n">
        <f aca="false">'Results Scenario B'!P39</f>
        <v>1889011.09935437</v>
      </c>
      <c r="D14" s="41" t="n">
        <f aca="false">'Results Scenario C'!P39</f>
        <v>959631.736167354</v>
      </c>
    </row>
    <row r="15" customFormat="false" ht="15" hidden="false" customHeight="true" outlineLevel="0" collapsed="false">
      <c r="A15" s="5" t="s">
        <v>274</v>
      </c>
      <c r="B15" s="41" t="n">
        <f aca="false">'Results Scenario A'!Q39</f>
        <v>123499.684851345</v>
      </c>
      <c r="C15" s="41" t="n">
        <f aca="false">'Results Scenario B'!Q39</f>
        <v>80915.1972910457</v>
      </c>
      <c r="D15" s="41" t="n">
        <f aca="false">'Results Scenario C'!Q39</f>
        <v>41105.5240942042</v>
      </c>
    </row>
    <row r="16" customFormat="false" ht="15" hidden="false" customHeight="true" outlineLevel="0" collapsed="false">
      <c r="A16" s="5" t="s">
        <v>275</v>
      </c>
      <c r="B16" s="42" t="n">
        <f aca="false">'Results Scenario A'!R39</f>
        <v>409.084355485083</v>
      </c>
      <c r="C16" s="42" t="n">
        <f aca="false">'Results Scenario B'!R39</f>
        <v>268.026119844753</v>
      </c>
      <c r="D16" s="42" t="n">
        <f aca="false">'Results Scenario C'!R39</f>
        <v>136.159269160847</v>
      </c>
    </row>
    <row r="17" customFormat="false" ht="15" hidden="false" customHeight="true" outlineLevel="0" collapsed="false">
      <c r="A17" s="5" t="s">
        <v>276</v>
      </c>
      <c r="B17" s="42" t="n">
        <f aca="false">'Results Scenario A'!S39</f>
        <v>233.095903755929</v>
      </c>
      <c r="C17" s="42" t="n">
        <f aca="false">'Results Scenario B'!S39</f>
        <v>152.721045910752</v>
      </c>
      <c r="D17" s="42" t="n">
        <f aca="false">'Results Scenario C'!S39</f>
        <v>77.5834310802722</v>
      </c>
    </row>
    <row r="18" customFormat="false" ht="15" hidden="false" customHeight="true" outlineLevel="0" collapsed="false">
      <c r="A18" s="5" t="s">
        <v>277</v>
      </c>
      <c r="B18" s="42" t="n">
        <f aca="false">'Results Scenario A'!T39</f>
        <v>642.180259241012</v>
      </c>
      <c r="C18" s="42" t="n">
        <f aca="false">'Results Scenario B'!T39</f>
        <v>420.747165755504</v>
      </c>
      <c r="D18" s="42" t="n">
        <f aca="false">'Results Scenario C'!T39</f>
        <v>213.742700241119</v>
      </c>
    </row>
    <row r="19" customFormat="false" ht="15" hidden="false" customHeight="true" outlineLevel="0" collapsed="false">
      <c r="A19" s="5" t="s">
        <v>279</v>
      </c>
      <c r="B19" s="42" t="n">
        <f aca="false">'Results Scenario A'!V39</f>
        <v>17.2310484150258</v>
      </c>
      <c r="C19" s="42" t="n">
        <f aca="false">'Results Scenario B'!V39</f>
        <v>11.2895323069983</v>
      </c>
      <c r="D19" s="42" t="n">
        <f aca="false">'Results Scenario C'!V39</f>
        <v>5.73516666576764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44" t="s">
        <v>464</v>
      </c>
    </row>
    <row r="3" customFormat="false" ht="15" hidden="false" customHeight="true" outlineLevel="0" collapsed="false">
      <c r="A3" s="46" t="s">
        <v>465</v>
      </c>
      <c r="B3" s="46" t="s">
        <v>466</v>
      </c>
      <c r="C3" s="46" t="s">
        <v>467</v>
      </c>
      <c r="D3" s="46" t="s">
        <v>468</v>
      </c>
      <c r="E3" s="46" t="s">
        <v>469</v>
      </c>
      <c r="F3" s="46" t="s">
        <v>470</v>
      </c>
      <c r="G3" s="46" t="s">
        <v>471</v>
      </c>
      <c r="H3" s="46" t="s">
        <v>472</v>
      </c>
    </row>
    <row r="4" customFormat="false" ht="28.5" hidden="false" customHeight="true" outlineLevel="0" collapsed="false">
      <c r="A4" s="82" t="s">
        <v>473</v>
      </c>
      <c r="B4" s="82" t="s">
        <v>474</v>
      </c>
      <c r="C4" s="82" t="s">
        <v>475</v>
      </c>
      <c r="D4" s="82" t="s">
        <v>476</v>
      </c>
      <c r="E4" s="82" t="s">
        <v>477</v>
      </c>
      <c r="F4" s="82" t="s">
        <v>478</v>
      </c>
      <c r="G4" s="82" t="s">
        <v>479</v>
      </c>
      <c r="H4" s="82" t="s">
        <v>480</v>
      </c>
    </row>
    <row r="5" customFormat="false" ht="28.5" hidden="false" customHeight="true" outlineLevel="0" collapsed="false">
      <c r="A5" s="82" t="s">
        <v>481</v>
      </c>
      <c r="B5" s="82" t="s">
        <v>482</v>
      </c>
      <c r="C5" s="82" t="s">
        <v>483</v>
      </c>
      <c r="D5" s="82" t="s">
        <v>476</v>
      </c>
      <c r="E5" s="82" t="s">
        <v>484</v>
      </c>
      <c r="F5" s="82" t="s">
        <v>478</v>
      </c>
      <c r="G5" s="82" t="s">
        <v>479</v>
      </c>
      <c r="H5" s="82" t="s">
        <v>485</v>
      </c>
    </row>
    <row r="6" customFormat="false" ht="28.5" hidden="false" customHeight="true" outlineLevel="0" collapsed="false">
      <c r="A6" s="82" t="s">
        <v>486</v>
      </c>
      <c r="B6" s="82" t="s">
        <v>487</v>
      </c>
      <c r="C6" s="82" t="s">
        <v>488</v>
      </c>
      <c r="D6" s="82" t="s">
        <v>476</v>
      </c>
      <c r="E6" s="82" t="s">
        <v>484</v>
      </c>
      <c r="F6" s="82" t="s">
        <v>478</v>
      </c>
      <c r="G6" s="82" t="s">
        <v>479</v>
      </c>
      <c r="H6" s="82" t="s">
        <v>485</v>
      </c>
    </row>
    <row r="7" customFormat="false" ht="28.5" hidden="false" customHeight="true" outlineLevel="0" collapsed="false">
      <c r="A7" s="82" t="s">
        <v>489</v>
      </c>
      <c r="B7" s="82" t="s">
        <v>490</v>
      </c>
      <c r="C7" s="82" t="s">
        <v>491</v>
      </c>
      <c r="D7" s="82" t="s">
        <v>476</v>
      </c>
      <c r="E7" s="82" t="s">
        <v>484</v>
      </c>
      <c r="F7" s="82" t="s">
        <v>478</v>
      </c>
      <c r="G7" s="82" t="s">
        <v>479</v>
      </c>
      <c r="H7" s="82" t="s">
        <v>485</v>
      </c>
    </row>
    <row r="8" customFormat="false" ht="28.5" hidden="false" customHeight="true" outlineLevel="0" collapsed="false">
      <c r="A8" s="82" t="s">
        <v>492</v>
      </c>
      <c r="B8" s="82" t="s">
        <v>493</v>
      </c>
      <c r="C8" s="82" t="s">
        <v>494</v>
      </c>
      <c r="D8" s="82" t="s">
        <v>476</v>
      </c>
      <c r="E8" s="82" t="s">
        <v>484</v>
      </c>
      <c r="F8" s="82" t="s">
        <v>478</v>
      </c>
      <c r="G8" s="82" t="s">
        <v>479</v>
      </c>
      <c r="H8" s="82" t="s">
        <v>485</v>
      </c>
    </row>
    <row r="9" customFormat="false" ht="28.5" hidden="false" customHeight="true" outlineLevel="0" collapsed="false">
      <c r="A9" s="82" t="s">
        <v>495</v>
      </c>
      <c r="B9" s="82" t="s">
        <v>496</v>
      </c>
      <c r="C9" s="82" t="s">
        <v>497</v>
      </c>
      <c r="D9" s="82" t="s">
        <v>476</v>
      </c>
      <c r="E9" s="82" t="s">
        <v>484</v>
      </c>
      <c r="F9" s="82" t="s">
        <v>478</v>
      </c>
      <c r="G9" s="82" t="s">
        <v>479</v>
      </c>
      <c r="H9" s="82" t="s">
        <v>485</v>
      </c>
    </row>
    <row r="10" customFormat="false" ht="42.75" hidden="false" customHeight="true" outlineLevel="0" collapsed="false">
      <c r="A10" s="82" t="s">
        <v>498</v>
      </c>
      <c r="B10" s="82" t="s">
        <v>499</v>
      </c>
      <c r="C10" s="82" t="s">
        <v>500</v>
      </c>
      <c r="D10" s="82" t="s">
        <v>501</v>
      </c>
      <c r="E10" s="82" t="s">
        <v>502</v>
      </c>
      <c r="F10" s="82" t="s">
        <v>503</v>
      </c>
      <c r="G10" s="82" t="s">
        <v>504</v>
      </c>
      <c r="H10" s="82" t="s">
        <v>505</v>
      </c>
    </row>
    <row r="11" customFormat="false" ht="42.75" hidden="false" customHeight="true" outlineLevel="0" collapsed="false">
      <c r="A11" s="82" t="s">
        <v>506</v>
      </c>
      <c r="B11" s="82" t="s">
        <v>507</v>
      </c>
      <c r="C11" s="82" t="s">
        <v>508</v>
      </c>
      <c r="D11" s="82" t="s">
        <v>501</v>
      </c>
      <c r="E11" s="82" t="s">
        <v>502</v>
      </c>
      <c r="F11" s="82" t="s">
        <v>503</v>
      </c>
      <c r="G11" s="82" t="s">
        <v>504</v>
      </c>
      <c r="H11" s="82" t="s">
        <v>505</v>
      </c>
    </row>
    <row r="12" customFormat="false" ht="42.75" hidden="false" customHeight="true" outlineLevel="0" collapsed="false">
      <c r="A12" s="82" t="s">
        <v>509</v>
      </c>
      <c r="B12" s="82" t="s">
        <v>510</v>
      </c>
      <c r="C12" s="82" t="s">
        <v>511</v>
      </c>
      <c r="D12" s="82" t="s">
        <v>501</v>
      </c>
      <c r="E12" s="82" t="s">
        <v>502</v>
      </c>
      <c r="F12" s="82" t="s">
        <v>503</v>
      </c>
      <c r="G12" s="82" t="s">
        <v>504</v>
      </c>
      <c r="H12" s="82" t="s">
        <v>505</v>
      </c>
    </row>
    <row r="13" customFormat="false" ht="42.75" hidden="false" customHeight="true" outlineLevel="0" collapsed="false">
      <c r="A13" s="82" t="s">
        <v>512</v>
      </c>
      <c r="B13" s="82" t="s">
        <v>513</v>
      </c>
      <c r="C13" s="82" t="s">
        <v>514</v>
      </c>
      <c r="D13" s="82" t="s">
        <v>501</v>
      </c>
      <c r="E13" s="82" t="s">
        <v>502</v>
      </c>
      <c r="F13" s="82" t="s">
        <v>503</v>
      </c>
      <c r="G13" s="82" t="s">
        <v>504</v>
      </c>
      <c r="H13" s="82" t="s">
        <v>505</v>
      </c>
    </row>
    <row r="14" customFormat="false" ht="42.75" hidden="false" customHeight="true" outlineLevel="0" collapsed="false">
      <c r="A14" s="82" t="s">
        <v>515</v>
      </c>
      <c r="B14" s="82" t="s">
        <v>516</v>
      </c>
      <c r="C14" s="82" t="s">
        <v>517</v>
      </c>
      <c r="D14" s="82" t="s">
        <v>501</v>
      </c>
      <c r="E14" s="82" t="s">
        <v>502</v>
      </c>
      <c r="F14" s="82" t="s">
        <v>503</v>
      </c>
      <c r="G14" s="82" t="s">
        <v>504</v>
      </c>
      <c r="H14" s="82" t="s">
        <v>505</v>
      </c>
    </row>
    <row r="15" customFormat="false" ht="42.75" hidden="false" customHeight="true" outlineLevel="0" collapsed="false">
      <c r="A15" s="82" t="s">
        <v>518</v>
      </c>
      <c r="B15" s="82" t="s">
        <v>519</v>
      </c>
      <c r="C15" s="82" t="s">
        <v>520</v>
      </c>
      <c r="D15" s="82" t="s">
        <v>501</v>
      </c>
      <c r="E15" s="82" t="s">
        <v>502</v>
      </c>
      <c r="F15" s="82" t="s">
        <v>503</v>
      </c>
      <c r="G15" s="82" t="s">
        <v>504</v>
      </c>
      <c r="H15" s="82" t="s">
        <v>505</v>
      </c>
    </row>
    <row r="16" customFormat="false" ht="28.5" hidden="false" customHeight="true" outlineLevel="0" collapsed="false">
      <c r="A16" s="82" t="s">
        <v>521</v>
      </c>
      <c r="B16" s="82" t="s">
        <v>522</v>
      </c>
      <c r="C16" s="82" t="s">
        <v>523</v>
      </c>
      <c r="D16" s="82" t="s">
        <v>524</v>
      </c>
      <c r="E16" s="82" t="s">
        <v>525</v>
      </c>
      <c r="F16" s="82" t="s">
        <v>526</v>
      </c>
      <c r="G16" s="82" t="s">
        <v>527</v>
      </c>
      <c r="H16" s="82" t="s">
        <v>528</v>
      </c>
    </row>
    <row r="17" customFormat="false" ht="28.5" hidden="false" customHeight="true" outlineLevel="0" collapsed="false">
      <c r="A17" s="82" t="s">
        <v>529</v>
      </c>
      <c r="B17" s="82" t="s">
        <v>530</v>
      </c>
      <c r="C17" s="82" t="s">
        <v>531</v>
      </c>
      <c r="D17" s="82" t="s">
        <v>524</v>
      </c>
      <c r="E17" s="82" t="s">
        <v>525</v>
      </c>
      <c r="F17" s="82" t="s">
        <v>526</v>
      </c>
      <c r="G17" s="82" t="s">
        <v>527</v>
      </c>
      <c r="H17" s="82" t="s">
        <v>528</v>
      </c>
    </row>
    <row r="18" customFormat="false" ht="28.5" hidden="false" customHeight="true" outlineLevel="0" collapsed="false">
      <c r="A18" s="82" t="s">
        <v>532</v>
      </c>
      <c r="B18" s="82" t="s">
        <v>533</v>
      </c>
      <c r="C18" s="82" t="s">
        <v>534</v>
      </c>
      <c r="D18" s="82" t="s">
        <v>524</v>
      </c>
      <c r="E18" s="82" t="s">
        <v>525</v>
      </c>
      <c r="F18" s="82" t="s">
        <v>526</v>
      </c>
      <c r="G18" s="82" t="s">
        <v>527</v>
      </c>
      <c r="H18" s="82" t="s">
        <v>528</v>
      </c>
    </row>
    <row r="19" customFormat="false" ht="42.75" hidden="false" customHeight="true" outlineLevel="0" collapsed="false">
      <c r="A19" s="82" t="s">
        <v>535</v>
      </c>
      <c r="B19" s="82" t="s">
        <v>536</v>
      </c>
      <c r="C19" s="82" t="s">
        <v>537</v>
      </c>
      <c r="D19" s="82" t="s">
        <v>524</v>
      </c>
      <c r="E19" s="82" t="s">
        <v>502</v>
      </c>
      <c r="F19" s="82" t="s">
        <v>538</v>
      </c>
      <c r="G19" s="82" t="s">
        <v>527</v>
      </c>
      <c r="H19" s="82" t="s">
        <v>528</v>
      </c>
    </row>
    <row r="20" customFormat="false" ht="42.75" hidden="false" customHeight="true" outlineLevel="0" collapsed="false">
      <c r="A20" s="82" t="s">
        <v>539</v>
      </c>
      <c r="B20" s="82" t="s">
        <v>540</v>
      </c>
      <c r="C20" s="82" t="s">
        <v>537</v>
      </c>
      <c r="D20" s="82" t="s">
        <v>524</v>
      </c>
      <c r="E20" s="82" t="s">
        <v>502</v>
      </c>
      <c r="F20" s="82" t="s">
        <v>538</v>
      </c>
      <c r="G20" s="82" t="s">
        <v>527</v>
      </c>
      <c r="H20" s="82" t="s">
        <v>528</v>
      </c>
    </row>
    <row r="21" customFormat="false" ht="42.75" hidden="false" customHeight="true" outlineLevel="0" collapsed="false">
      <c r="A21" s="82" t="s">
        <v>541</v>
      </c>
      <c r="B21" s="82" t="s">
        <v>542</v>
      </c>
      <c r="C21" s="82" t="s">
        <v>537</v>
      </c>
      <c r="D21" s="82" t="s">
        <v>524</v>
      </c>
      <c r="E21" s="82" t="s">
        <v>502</v>
      </c>
      <c r="F21" s="82" t="s">
        <v>538</v>
      </c>
      <c r="G21" s="82" t="s">
        <v>527</v>
      </c>
      <c r="H21" s="82" t="s">
        <v>528</v>
      </c>
    </row>
    <row r="22" customFormat="false" ht="28.5" hidden="false" customHeight="true" outlineLevel="0" collapsed="false">
      <c r="A22" s="82" t="s">
        <v>543</v>
      </c>
      <c r="B22" s="82" t="s">
        <v>544</v>
      </c>
      <c r="C22" s="82" t="s">
        <v>545</v>
      </c>
      <c r="D22" s="82" t="s">
        <v>546</v>
      </c>
      <c r="E22" s="82" t="s">
        <v>525</v>
      </c>
      <c r="F22" s="82" t="s">
        <v>547</v>
      </c>
      <c r="G22" s="82" t="s">
        <v>527</v>
      </c>
      <c r="H22" s="82" t="s">
        <v>548</v>
      </c>
    </row>
    <row r="23" customFormat="false" ht="28.5" hidden="false" customHeight="true" outlineLevel="0" collapsed="false">
      <c r="A23" s="82" t="s">
        <v>549</v>
      </c>
      <c r="B23" s="82" t="s">
        <v>550</v>
      </c>
      <c r="C23" s="82" t="s">
        <v>551</v>
      </c>
      <c r="D23" s="82" t="s">
        <v>546</v>
      </c>
      <c r="E23" s="82" t="s">
        <v>525</v>
      </c>
      <c r="F23" s="82" t="s">
        <v>547</v>
      </c>
      <c r="G23" s="82" t="s">
        <v>527</v>
      </c>
      <c r="H23" s="82" t="s">
        <v>548</v>
      </c>
    </row>
    <row r="24" customFormat="false" ht="28.5" hidden="false" customHeight="true" outlineLevel="0" collapsed="false">
      <c r="A24" s="82" t="s">
        <v>552</v>
      </c>
      <c r="B24" s="82" t="s">
        <v>553</v>
      </c>
      <c r="C24" s="82" t="s">
        <v>554</v>
      </c>
      <c r="D24" s="82" t="s">
        <v>546</v>
      </c>
      <c r="E24" s="82" t="s">
        <v>525</v>
      </c>
      <c r="F24" s="82" t="s">
        <v>547</v>
      </c>
      <c r="G24" s="82" t="s">
        <v>527</v>
      </c>
      <c r="H24" s="82" t="s">
        <v>548</v>
      </c>
    </row>
    <row r="25" customFormat="false" ht="28.5" hidden="false" customHeight="true" outlineLevel="0" collapsed="false">
      <c r="A25" s="82" t="s">
        <v>555</v>
      </c>
      <c r="B25" s="82" t="s">
        <v>556</v>
      </c>
      <c r="C25" s="82" t="s">
        <v>557</v>
      </c>
      <c r="D25" s="82" t="s">
        <v>546</v>
      </c>
      <c r="E25" s="82" t="s">
        <v>525</v>
      </c>
      <c r="F25" s="82" t="s">
        <v>547</v>
      </c>
      <c r="G25" s="82" t="s">
        <v>527</v>
      </c>
      <c r="H25" s="82" t="s">
        <v>548</v>
      </c>
    </row>
    <row r="26" customFormat="false" ht="28.5" hidden="false" customHeight="true" outlineLevel="0" collapsed="false">
      <c r="A26" s="82" t="s">
        <v>558</v>
      </c>
      <c r="B26" s="82" t="s">
        <v>559</v>
      </c>
      <c r="C26" s="82" t="s">
        <v>560</v>
      </c>
      <c r="D26" s="82" t="s">
        <v>546</v>
      </c>
      <c r="E26" s="82" t="s">
        <v>525</v>
      </c>
      <c r="F26" s="82" t="s">
        <v>547</v>
      </c>
      <c r="G26" s="82" t="s">
        <v>527</v>
      </c>
      <c r="H26" s="82" t="s">
        <v>548</v>
      </c>
    </row>
    <row r="27" customFormat="false" ht="28.5" hidden="false" customHeight="true" outlineLevel="0" collapsed="false">
      <c r="A27" s="82" t="s">
        <v>561</v>
      </c>
      <c r="B27" s="82" t="s">
        <v>562</v>
      </c>
      <c r="C27" s="82" t="s">
        <v>563</v>
      </c>
      <c r="D27" s="82" t="s">
        <v>546</v>
      </c>
      <c r="E27" s="82" t="s">
        <v>525</v>
      </c>
      <c r="F27" s="82" t="s">
        <v>547</v>
      </c>
      <c r="G27" s="82" t="s">
        <v>527</v>
      </c>
      <c r="H27" s="82" t="s">
        <v>548</v>
      </c>
    </row>
    <row r="28" customFormat="false" ht="27.75" hidden="false" customHeight="true" outlineLevel="0" collapsed="false">
      <c r="A28" s="82" t="s">
        <v>564</v>
      </c>
      <c r="B28" s="82" t="s">
        <v>565</v>
      </c>
      <c r="C28" s="82" t="s">
        <v>566</v>
      </c>
      <c r="D28" s="82" t="s">
        <v>567</v>
      </c>
      <c r="E28" s="82" t="s">
        <v>525</v>
      </c>
      <c r="F28" s="82" t="s">
        <v>568</v>
      </c>
      <c r="G28" s="82" t="s">
        <v>527</v>
      </c>
      <c r="H28" s="82"/>
    </row>
    <row r="29" customFormat="false" ht="42.75" hidden="false" customHeight="true" outlineLevel="0" collapsed="false">
      <c r="A29" s="82" t="s">
        <v>569</v>
      </c>
      <c r="B29" s="82" t="s">
        <v>570</v>
      </c>
      <c r="C29" s="82" t="s">
        <v>571</v>
      </c>
      <c r="D29" s="82" t="s">
        <v>567</v>
      </c>
      <c r="E29" s="82" t="s">
        <v>502</v>
      </c>
      <c r="F29" s="82" t="s">
        <v>572</v>
      </c>
      <c r="G29" s="82" t="s">
        <v>573</v>
      </c>
      <c r="H29" s="82"/>
    </row>
    <row r="30" customFormat="false" ht="42.75" hidden="false" customHeight="true" outlineLevel="0" collapsed="false">
      <c r="A30" s="82" t="s">
        <v>574</v>
      </c>
      <c r="B30" s="82" t="s">
        <v>575</v>
      </c>
      <c r="C30" s="82" t="s">
        <v>576</v>
      </c>
      <c r="D30" s="82" t="s">
        <v>567</v>
      </c>
      <c r="E30" s="82" t="s">
        <v>502</v>
      </c>
      <c r="F30" s="82" t="s">
        <v>577</v>
      </c>
      <c r="G30" s="82" t="s">
        <v>504</v>
      </c>
      <c r="H30" s="82" t="s">
        <v>578</v>
      </c>
    </row>
    <row r="31" customFormat="false" ht="27.75" hidden="false" customHeight="true" outlineLevel="0" collapsed="false">
      <c r="A31" s="82" t="s">
        <v>579</v>
      </c>
      <c r="B31" s="82" t="s">
        <v>580</v>
      </c>
      <c r="C31" s="82" t="s">
        <v>581</v>
      </c>
      <c r="D31" s="82" t="s">
        <v>567</v>
      </c>
      <c r="E31" s="82" t="s">
        <v>525</v>
      </c>
      <c r="F31" s="82" t="s">
        <v>568</v>
      </c>
      <c r="G31" s="82" t="s">
        <v>527</v>
      </c>
      <c r="H31" s="82"/>
    </row>
    <row r="32" customFormat="false" ht="42.75" hidden="false" customHeight="true" outlineLevel="0" collapsed="false">
      <c r="A32" s="82" t="s">
        <v>582</v>
      </c>
      <c r="B32" s="82" t="s">
        <v>583</v>
      </c>
      <c r="C32" s="82" t="s">
        <v>584</v>
      </c>
      <c r="D32" s="82" t="s">
        <v>567</v>
      </c>
      <c r="E32" s="82" t="s">
        <v>502</v>
      </c>
      <c r="F32" s="82" t="s">
        <v>585</v>
      </c>
      <c r="G32" s="82" t="s">
        <v>586</v>
      </c>
      <c r="H32" s="82"/>
    </row>
    <row r="33" customFormat="false" ht="42.75" hidden="false" customHeight="true" outlineLevel="0" collapsed="false">
      <c r="A33" s="82" t="s">
        <v>587</v>
      </c>
      <c r="B33" s="82" t="s">
        <v>588</v>
      </c>
      <c r="C33" s="82" t="s">
        <v>589</v>
      </c>
      <c r="D33" s="82" t="s">
        <v>590</v>
      </c>
      <c r="E33" s="82" t="s">
        <v>502</v>
      </c>
      <c r="F33" s="82" t="s">
        <v>591</v>
      </c>
      <c r="G33" s="82" t="s">
        <v>504</v>
      </c>
      <c r="H33" s="82" t="s">
        <v>592</v>
      </c>
    </row>
    <row r="34" customFormat="false" ht="42.75" hidden="false" customHeight="true" outlineLevel="0" collapsed="false">
      <c r="A34" s="82" t="s">
        <v>593</v>
      </c>
      <c r="B34" s="82" t="s">
        <v>594</v>
      </c>
      <c r="C34" s="82" t="s">
        <v>595</v>
      </c>
      <c r="D34" s="82" t="s">
        <v>596</v>
      </c>
      <c r="E34" s="82" t="s">
        <v>502</v>
      </c>
      <c r="F34" s="82" t="s">
        <v>597</v>
      </c>
      <c r="G34" s="82" t="s">
        <v>527</v>
      </c>
      <c r="H34" s="82"/>
    </row>
    <row r="35" customFormat="false" ht="28.5" hidden="false" customHeight="true" outlineLevel="0" collapsed="false">
      <c r="A35" s="82" t="s">
        <v>598</v>
      </c>
      <c r="B35" s="82" t="s">
        <v>599</v>
      </c>
      <c r="C35" s="82" t="s">
        <v>600</v>
      </c>
      <c r="D35" s="82" t="s">
        <v>601</v>
      </c>
      <c r="E35" s="82" t="s">
        <v>525</v>
      </c>
      <c r="F35" s="82" t="s">
        <v>568</v>
      </c>
      <c r="G35" s="82" t="s">
        <v>527</v>
      </c>
      <c r="H35" s="82"/>
    </row>
    <row r="36" customFormat="false" ht="42.75" hidden="false" customHeight="true" outlineLevel="0" collapsed="false">
      <c r="A36" s="82" t="s">
        <v>602</v>
      </c>
      <c r="B36" s="82" t="s">
        <v>603</v>
      </c>
      <c r="C36" s="82" t="s">
        <v>604</v>
      </c>
      <c r="D36" s="82" t="s">
        <v>590</v>
      </c>
      <c r="E36" s="82" t="s">
        <v>502</v>
      </c>
      <c r="F36" s="82" t="s">
        <v>591</v>
      </c>
      <c r="G36" s="82" t="s">
        <v>504</v>
      </c>
      <c r="H36" s="82" t="s">
        <v>592</v>
      </c>
    </row>
    <row r="37" customFormat="false" ht="42.75" hidden="false" customHeight="true" outlineLevel="0" collapsed="false">
      <c r="A37" s="82" t="s">
        <v>605</v>
      </c>
      <c r="B37" s="82" t="s">
        <v>606</v>
      </c>
      <c r="C37" s="82" t="s">
        <v>607</v>
      </c>
      <c r="D37" s="82" t="s">
        <v>596</v>
      </c>
      <c r="E37" s="82" t="s">
        <v>502</v>
      </c>
      <c r="F37" s="82" t="s">
        <v>597</v>
      </c>
      <c r="G37" s="82" t="s">
        <v>527</v>
      </c>
      <c r="H37" s="82"/>
    </row>
    <row r="38" customFormat="false" ht="28.5" hidden="false" customHeight="true" outlineLevel="0" collapsed="false">
      <c r="A38" s="82" t="s">
        <v>608</v>
      </c>
      <c r="B38" s="82" t="s">
        <v>609</v>
      </c>
      <c r="C38" s="82" t="s">
        <v>534</v>
      </c>
      <c r="D38" s="82" t="s">
        <v>601</v>
      </c>
      <c r="E38" s="82" t="s">
        <v>525</v>
      </c>
      <c r="F38" s="82" t="s">
        <v>568</v>
      </c>
      <c r="G38" s="82" t="s">
        <v>527</v>
      </c>
      <c r="H38" s="82"/>
    </row>
    <row r="39" customFormat="false" ht="42.75" hidden="false" customHeight="true" outlineLevel="0" collapsed="false">
      <c r="A39" s="82" t="s">
        <v>610</v>
      </c>
      <c r="B39" s="82" t="s">
        <v>611</v>
      </c>
      <c r="C39" s="82" t="s">
        <v>612</v>
      </c>
      <c r="D39" s="82" t="s">
        <v>590</v>
      </c>
      <c r="E39" s="82" t="s">
        <v>502</v>
      </c>
      <c r="F39" s="82" t="s">
        <v>591</v>
      </c>
      <c r="G39" s="82" t="s">
        <v>504</v>
      </c>
      <c r="H39" s="82" t="s">
        <v>592</v>
      </c>
    </row>
    <row r="40" customFormat="false" ht="42.75" hidden="false" customHeight="true" outlineLevel="0" collapsed="false">
      <c r="A40" s="82" t="s">
        <v>613</v>
      </c>
      <c r="B40" s="82" t="s">
        <v>614</v>
      </c>
      <c r="C40" s="82" t="s">
        <v>615</v>
      </c>
      <c r="D40" s="82" t="s">
        <v>596</v>
      </c>
      <c r="E40" s="82" t="s">
        <v>502</v>
      </c>
      <c r="F40" s="82" t="s">
        <v>597</v>
      </c>
      <c r="G40" s="82" t="s">
        <v>527</v>
      </c>
      <c r="H40" s="82"/>
    </row>
    <row r="41" customFormat="false" ht="28.5" hidden="false" customHeight="true" outlineLevel="0" collapsed="false">
      <c r="A41" s="82" t="s">
        <v>616</v>
      </c>
      <c r="B41" s="82" t="s">
        <v>617</v>
      </c>
      <c r="C41" s="82" t="s">
        <v>531</v>
      </c>
      <c r="D41" s="82" t="s">
        <v>601</v>
      </c>
      <c r="E41" s="82" t="s">
        <v>525</v>
      </c>
      <c r="F41" s="82" t="s">
        <v>568</v>
      </c>
      <c r="G41" s="82" t="s">
        <v>527</v>
      </c>
      <c r="H41" s="82"/>
    </row>
    <row r="42" customFormat="false" ht="42.75" hidden="false" customHeight="true" outlineLevel="0" collapsed="false">
      <c r="A42" s="82" t="s">
        <v>618</v>
      </c>
      <c r="B42" s="82" t="s">
        <v>619</v>
      </c>
      <c r="C42" s="82" t="s">
        <v>620</v>
      </c>
      <c r="D42" s="82" t="s">
        <v>590</v>
      </c>
      <c r="E42" s="82" t="s">
        <v>502</v>
      </c>
      <c r="F42" s="82" t="s">
        <v>591</v>
      </c>
      <c r="G42" s="82" t="s">
        <v>504</v>
      </c>
      <c r="H42" s="82" t="s">
        <v>592</v>
      </c>
    </row>
    <row r="43" customFormat="false" ht="42.75" hidden="false" customHeight="true" outlineLevel="0" collapsed="false">
      <c r="A43" s="82" t="s">
        <v>621</v>
      </c>
      <c r="B43" s="82" t="s">
        <v>622</v>
      </c>
      <c r="C43" s="82" t="s">
        <v>584</v>
      </c>
      <c r="D43" s="82" t="s">
        <v>596</v>
      </c>
      <c r="E43" s="82" t="s">
        <v>502</v>
      </c>
      <c r="F43" s="82" t="s">
        <v>597</v>
      </c>
      <c r="G43" s="82" t="s">
        <v>527</v>
      </c>
      <c r="H43" s="82"/>
    </row>
    <row r="44" customFormat="false" ht="28.5" hidden="false" customHeight="true" outlineLevel="0" collapsed="false">
      <c r="A44" s="82" t="s">
        <v>623</v>
      </c>
      <c r="B44" s="82" t="s">
        <v>624</v>
      </c>
      <c r="C44" s="82" t="s">
        <v>625</v>
      </c>
      <c r="D44" s="82" t="s">
        <v>601</v>
      </c>
      <c r="E44" s="82" t="s">
        <v>525</v>
      </c>
      <c r="F44" s="82" t="s">
        <v>568</v>
      </c>
      <c r="G44" s="82" t="s">
        <v>527</v>
      </c>
      <c r="H44" s="82"/>
    </row>
    <row r="45" customFormat="false" ht="42.75" hidden="false" customHeight="true" outlineLevel="0" collapsed="false">
      <c r="A45" s="82" t="s">
        <v>626</v>
      </c>
      <c r="B45" s="82" t="s">
        <v>627</v>
      </c>
      <c r="C45" s="82" t="s">
        <v>628</v>
      </c>
      <c r="D45" s="82" t="s">
        <v>590</v>
      </c>
      <c r="E45" s="82" t="s">
        <v>502</v>
      </c>
      <c r="F45" s="82" t="s">
        <v>591</v>
      </c>
      <c r="G45" s="82" t="s">
        <v>504</v>
      </c>
      <c r="H45" s="82" t="s">
        <v>592</v>
      </c>
    </row>
    <row r="46" customFormat="false" ht="42.75" hidden="false" customHeight="true" outlineLevel="0" collapsed="false">
      <c r="A46" s="82" t="s">
        <v>629</v>
      </c>
      <c r="B46" s="82" t="s">
        <v>630</v>
      </c>
      <c r="C46" s="82" t="s">
        <v>631</v>
      </c>
      <c r="D46" s="82" t="s">
        <v>596</v>
      </c>
      <c r="E46" s="82" t="s">
        <v>502</v>
      </c>
      <c r="F46" s="82" t="s">
        <v>597</v>
      </c>
      <c r="G46" s="82" t="s">
        <v>527</v>
      </c>
      <c r="H46" s="82"/>
    </row>
    <row r="47" customFormat="false" ht="28.5" hidden="false" customHeight="true" outlineLevel="0" collapsed="false">
      <c r="A47" s="82" t="s">
        <v>632</v>
      </c>
      <c r="B47" s="82" t="s">
        <v>633</v>
      </c>
      <c r="C47" s="82" t="s">
        <v>523</v>
      </c>
      <c r="D47" s="82" t="s">
        <v>601</v>
      </c>
      <c r="E47" s="82" t="s">
        <v>525</v>
      </c>
      <c r="F47" s="82" t="s">
        <v>568</v>
      </c>
      <c r="G47" s="82" t="s">
        <v>527</v>
      </c>
      <c r="H47" s="82"/>
    </row>
    <row r="48" customFormat="false" ht="42.75" hidden="false" customHeight="true" outlineLevel="0" collapsed="false">
      <c r="A48" s="82" t="s">
        <v>634</v>
      </c>
      <c r="B48" s="82" t="s">
        <v>635</v>
      </c>
      <c r="C48" s="82" t="s">
        <v>636</v>
      </c>
      <c r="D48" s="82" t="s">
        <v>637</v>
      </c>
      <c r="E48" s="82" t="s">
        <v>502</v>
      </c>
      <c r="F48" s="82" t="s">
        <v>638</v>
      </c>
      <c r="G48" s="82" t="s">
        <v>639</v>
      </c>
      <c r="H48" s="82" t="s">
        <v>640</v>
      </c>
    </row>
    <row r="49" customFormat="false" ht="42.75" hidden="false" customHeight="true" outlineLevel="0" collapsed="false">
      <c r="A49" s="82" t="s">
        <v>641</v>
      </c>
      <c r="B49" s="82" t="s">
        <v>642</v>
      </c>
      <c r="C49" s="82" t="s">
        <v>643</v>
      </c>
      <c r="D49" s="82" t="s">
        <v>644</v>
      </c>
      <c r="E49" s="82" t="s">
        <v>645</v>
      </c>
      <c r="F49" s="82" t="s">
        <v>646</v>
      </c>
      <c r="G49" s="82" t="s">
        <v>647</v>
      </c>
      <c r="H49" s="82" t="s">
        <v>648</v>
      </c>
    </row>
    <row r="50" customFormat="false" ht="42.75" hidden="false" customHeight="true" outlineLevel="0" collapsed="false">
      <c r="A50" s="82" t="s">
        <v>649</v>
      </c>
      <c r="B50" s="82" t="s">
        <v>650</v>
      </c>
      <c r="C50" s="82" t="s">
        <v>651</v>
      </c>
      <c r="D50" s="82" t="s">
        <v>652</v>
      </c>
      <c r="E50" s="82" t="s">
        <v>525</v>
      </c>
      <c r="F50" s="82" t="s">
        <v>653</v>
      </c>
      <c r="G50" s="82" t="s">
        <v>527</v>
      </c>
      <c r="H50" s="82" t="s">
        <v>654</v>
      </c>
    </row>
    <row r="51" customFormat="false" ht="42.75" hidden="false" customHeight="true" outlineLevel="0" collapsed="false">
      <c r="A51" s="82" t="s">
        <v>655</v>
      </c>
      <c r="B51" s="82" t="s">
        <v>656</v>
      </c>
      <c r="C51" s="82" t="s">
        <v>657</v>
      </c>
      <c r="D51" s="82" t="s">
        <v>658</v>
      </c>
      <c r="E51" s="82" t="s">
        <v>659</v>
      </c>
      <c r="F51" s="82" t="s">
        <v>660</v>
      </c>
      <c r="G51" s="82" t="s">
        <v>647</v>
      </c>
      <c r="H51" s="82" t="s">
        <v>661</v>
      </c>
    </row>
    <row r="52" customFormat="false" ht="42.75" hidden="false" customHeight="true" outlineLevel="0" collapsed="false">
      <c r="A52" s="82" t="s">
        <v>662</v>
      </c>
      <c r="B52" s="82" t="s">
        <v>663</v>
      </c>
      <c r="C52" s="82" t="s">
        <v>517</v>
      </c>
      <c r="D52" s="82" t="s">
        <v>524</v>
      </c>
      <c r="E52" s="82" t="s">
        <v>502</v>
      </c>
      <c r="F52" s="82" t="s">
        <v>664</v>
      </c>
      <c r="G52" s="82" t="s">
        <v>527</v>
      </c>
      <c r="H52" s="82"/>
    </row>
    <row r="53" customFormat="false" ht="27.75" hidden="false" customHeight="true" outlineLevel="0" collapsed="false">
      <c r="A53" s="82" t="s">
        <v>57</v>
      </c>
      <c r="B53" s="82" t="s">
        <v>665</v>
      </c>
      <c r="C53" s="82" t="s">
        <v>666</v>
      </c>
      <c r="D53" s="82" t="s">
        <v>667</v>
      </c>
      <c r="E53" s="82" t="s">
        <v>525</v>
      </c>
      <c r="F53" s="82" t="s">
        <v>568</v>
      </c>
      <c r="G53" s="82" t="s">
        <v>527</v>
      </c>
      <c r="H53" s="82"/>
    </row>
    <row r="54" customFormat="false" ht="42.75" hidden="false" customHeight="true" outlineLevel="0" collapsed="false">
      <c r="A54" s="82" t="s">
        <v>668</v>
      </c>
      <c r="B54" s="82" t="s">
        <v>669</v>
      </c>
      <c r="C54" s="82" t="s">
        <v>631</v>
      </c>
      <c r="D54" s="82" t="s">
        <v>670</v>
      </c>
      <c r="E54" s="82" t="s">
        <v>502</v>
      </c>
      <c r="F54" s="82" t="s">
        <v>671</v>
      </c>
      <c r="G54" s="82" t="s">
        <v>527</v>
      </c>
      <c r="H54" s="82" t="s">
        <v>672</v>
      </c>
    </row>
    <row r="55" customFormat="false" ht="15" hidden="false" customHeight="true" outlineLevel="0" collapsed="false">
      <c r="A55" s="82" t="s">
        <v>673</v>
      </c>
      <c r="B55" s="82" t="s">
        <v>674</v>
      </c>
      <c r="C55" s="82" t="s">
        <v>675</v>
      </c>
      <c r="D55" s="82" t="s">
        <v>596</v>
      </c>
      <c r="E55" s="82" t="s">
        <v>484</v>
      </c>
      <c r="F55" s="82" t="s">
        <v>676</v>
      </c>
      <c r="G55" s="82" t="s">
        <v>677</v>
      </c>
      <c r="H55" s="82"/>
    </row>
    <row r="56" customFormat="false" ht="15" hidden="false" customHeight="true" outlineLevel="0" collapsed="false">
      <c r="A56" s="82" t="s">
        <v>62</v>
      </c>
      <c r="B56" s="82" t="s">
        <v>678</v>
      </c>
      <c r="C56" s="82" t="s">
        <v>534</v>
      </c>
      <c r="D56" s="82" t="s">
        <v>524</v>
      </c>
      <c r="E56" s="82" t="s">
        <v>525</v>
      </c>
      <c r="F56" s="82" t="s">
        <v>568</v>
      </c>
      <c r="G56" s="82" t="s">
        <v>527</v>
      </c>
      <c r="H56" s="82"/>
    </row>
    <row r="57" customFormat="false" ht="28.5" hidden="false" customHeight="true" outlineLevel="0" collapsed="false">
      <c r="A57" s="82" t="s">
        <v>679</v>
      </c>
      <c r="B57" s="82" t="s">
        <v>680</v>
      </c>
      <c r="C57" s="82" t="s">
        <v>666</v>
      </c>
      <c r="D57" s="82" t="s">
        <v>524</v>
      </c>
      <c r="E57" s="82" t="s">
        <v>525</v>
      </c>
      <c r="F57" s="82" t="s">
        <v>681</v>
      </c>
      <c r="G57" s="82" t="s">
        <v>527</v>
      </c>
      <c r="H57" s="82"/>
    </row>
    <row r="58" customFormat="false" ht="28.5" hidden="false" customHeight="true" outlineLevel="0" collapsed="false">
      <c r="A58" s="82" t="s">
        <v>682</v>
      </c>
      <c r="B58" s="82" t="s">
        <v>683</v>
      </c>
      <c r="C58" s="82" t="s">
        <v>566</v>
      </c>
      <c r="D58" s="82" t="s">
        <v>684</v>
      </c>
      <c r="E58" s="82" t="s">
        <v>525</v>
      </c>
      <c r="F58" s="82" t="s">
        <v>685</v>
      </c>
      <c r="G58" s="82" t="s">
        <v>527</v>
      </c>
      <c r="H58" s="82" t="s">
        <v>686</v>
      </c>
    </row>
    <row r="59" customFormat="false" ht="28.5" hidden="false" customHeight="true" outlineLevel="0" collapsed="false">
      <c r="A59" s="82" t="s">
        <v>687</v>
      </c>
      <c r="B59" s="82" t="s">
        <v>688</v>
      </c>
      <c r="C59" s="82" t="s">
        <v>689</v>
      </c>
      <c r="D59" s="82" t="s">
        <v>690</v>
      </c>
      <c r="E59" s="82" t="s">
        <v>477</v>
      </c>
      <c r="F59" s="82" t="s">
        <v>691</v>
      </c>
      <c r="G59" s="82" t="s">
        <v>527</v>
      </c>
      <c r="H59" s="82" t="s">
        <v>692</v>
      </c>
    </row>
    <row r="60" customFormat="false" ht="42.75" hidden="false" customHeight="true" outlineLevel="0" collapsed="false">
      <c r="A60" s="82" t="s">
        <v>693</v>
      </c>
      <c r="B60" s="82" t="s">
        <v>694</v>
      </c>
      <c r="C60" s="82" t="s">
        <v>695</v>
      </c>
      <c r="D60" s="82" t="s">
        <v>684</v>
      </c>
      <c r="E60" s="82" t="s">
        <v>502</v>
      </c>
      <c r="F60" s="82" t="s">
        <v>696</v>
      </c>
      <c r="G60" s="82" t="s">
        <v>697</v>
      </c>
      <c r="H60" s="82" t="s">
        <v>698</v>
      </c>
    </row>
    <row r="61" customFormat="false" ht="15" hidden="false" customHeight="true" outlineLevel="0" collapsed="false">
      <c r="A61" s="82" t="s">
        <v>355</v>
      </c>
      <c r="B61" s="82" t="s">
        <v>699</v>
      </c>
      <c r="C61" s="82" t="s">
        <v>700</v>
      </c>
      <c r="D61" s="82" t="s">
        <v>524</v>
      </c>
      <c r="E61" s="82" t="s">
        <v>525</v>
      </c>
      <c r="F61" s="82" t="s">
        <v>568</v>
      </c>
      <c r="G61" s="82" t="s">
        <v>527</v>
      </c>
      <c r="H61" s="82" t="s">
        <v>701</v>
      </c>
    </row>
    <row r="62" customFormat="false" ht="27.75" hidden="false" customHeight="true" outlineLevel="0" collapsed="false">
      <c r="A62" s="82" t="s">
        <v>702</v>
      </c>
      <c r="B62" s="82" t="s">
        <v>703</v>
      </c>
      <c r="C62" s="82" t="s">
        <v>704</v>
      </c>
      <c r="D62" s="82" t="s">
        <v>705</v>
      </c>
      <c r="E62" s="82" t="s">
        <v>525</v>
      </c>
      <c r="F62" s="82" t="s">
        <v>568</v>
      </c>
      <c r="G62" s="82" t="s">
        <v>527</v>
      </c>
      <c r="H62" s="82"/>
    </row>
    <row r="63" customFormat="false" ht="42.75" hidden="false" customHeight="true" outlineLevel="0" collapsed="false">
      <c r="A63" s="82" t="s">
        <v>706</v>
      </c>
      <c r="B63" s="82" t="s">
        <v>707</v>
      </c>
      <c r="C63" s="82" t="s">
        <v>534</v>
      </c>
      <c r="D63" s="82" t="s">
        <v>524</v>
      </c>
      <c r="E63" s="82" t="s">
        <v>502</v>
      </c>
      <c r="F63" s="82" t="s">
        <v>708</v>
      </c>
      <c r="G63" s="82" t="s">
        <v>709</v>
      </c>
      <c r="H63" s="82" t="s">
        <v>710</v>
      </c>
    </row>
    <row r="64" customFormat="false" ht="15" hidden="false" customHeight="true" outlineLevel="0" collapsed="false">
      <c r="A64" s="82" t="s">
        <v>711</v>
      </c>
      <c r="B64" s="82" t="s">
        <v>712</v>
      </c>
      <c r="C64" s="82" t="s">
        <v>713</v>
      </c>
      <c r="D64" s="82" t="s">
        <v>596</v>
      </c>
      <c r="E64" s="82" t="s">
        <v>525</v>
      </c>
      <c r="F64" s="82" t="s">
        <v>714</v>
      </c>
      <c r="G64" s="82" t="s">
        <v>527</v>
      </c>
      <c r="H64" s="82"/>
    </row>
    <row r="65" customFormat="false" ht="15" hidden="false" customHeight="true" outlineLevel="0" collapsed="false">
      <c r="A65" s="82" t="s">
        <v>715</v>
      </c>
      <c r="B65" s="82" t="s">
        <v>716</v>
      </c>
      <c r="C65" s="82" t="s">
        <v>717</v>
      </c>
      <c r="D65" s="82" t="s">
        <v>718</v>
      </c>
      <c r="E65" s="82" t="s">
        <v>484</v>
      </c>
      <c r="F65" s="82" t="s">
        <v>719</v>
      </c>
      <c r="G65" s="82" t="s">
        <v>720</v>
      </c>
      <c r="H65" s="82" t="s">
        <v>721</v>
      </c>
    </row>
    <row r="66" customFormat="false" ht="15" hidden="false" customHeight="true" outlineLevel="0" collapsed="false">
      <c r="A66" s="82" t="s">
        <v>722</v>
      </c>
      <c r="B66" s="82" t="s">
        <v>723</v>
      </c>
      <c r="C66" s="82" t="s">
        <v>724</v>
      </c>
      <c r="D66" s="82" t="s">
        <v>725</v>
      </c>
      <c r="E66" s="82" t="s">
        <v>525</v>
      </c>
      <c r="F66" s="82" t="s">
        <v>568</v>
      </c>
      <c r="G66" s="82" t="s">
        <v>527</v>
      </c>
      <c r="H66" s="82"/>
    </row>
    <row r="67" customFormat="false" ht="27.75" hidden="false" customHeight="true" outlineLevel="0" collapsed="false">
      <c r="A67" s="82" t="s">
        <v>726</v>
      </c>
      <c r="B67" s="82" t="s">
        <v>727</v>
      </c>
      <c r="C67" s="82" t="s">
        <v>728</v>
      </c>
      <c r="D67" s="82" t="s">
        <v>729</v>
      </c>
      <c r="E67" s="82" t="s">
        <v>525</v>
      </c>
      <c r="F67" s="82" t="s">
        <v>568</v>
      </c>
      <c r="G67" s="82" t="s">
        <v>527</v>
      </c>
      <c r="H67" s="82" t="s">
        <v>730</v>
      </c>
    </row>
    <row r="68" customFormat="false" ht="28.5" hidden="false" customHeight="true" outlineLevel="0" collapsed="false">
      <c r="A68" s="82" t="s">
        <v>731</v>
      </c>
      <c r="B68" s="82" t="s">
        <v>732</v>
      </c>
      <c r="C68" s="82" t="s">
        <v>733</v>
      </c>
      <c r="D68" s="82" t="s">
        <v>734</v>
      </c>
      <c r="E68" s="82" t="s">
        <v>525</v>
      </c>
      <c r="F68" s="82" t="s">
        <v>568</v>
      </c>
      <c r="G68" s="82" t="s">
        <v>527</v>
      </c>
      <c r="H68" s="82" t="s">
        <v>730</v>
      </c>
    </row>
    <row r="69" customFormat="false" ht="28.5" hidden="false" customHeight="true" outlineLevel="0" collapsed="false">
      <c r="A69" s="82" t="s">
        <v>735</v>
      </c>
      <c r="B69" s="82" t="s">
        <v>736</v>
      </c>
      <c r="C69" s="82" t="s">
        <v>704</v>
      </c>
      <c r="D69" s="82" t="s">
        <v>524</v>
      </c>
      <c r="E69" s="82" t="s">
        <v>525</v>
      </c>
      <c r="F69" s="82" t="s">
        <v>568</v>
      </c>
      <c r="G69" s="82" t="s">
        <v>527</v>
      </c>
      <c r="H69" s="82" t="s">
        <v>737</v>
      </c>
    </row>
    <row r="70" customFormat="false" ht="27.75" hidden="false" customHeight="true" outlineLevel="0" collapsed="false">
      <c r="A70" s="82" t="s">
        <v>738</v>
      </c>
      <c r="B70" s="82" t="s">
        <v>739</v>
      </c>
      <c r="C70" s="82" t="s">
        <v>740</v>
      </c>
      <c r="D70" s="82" t="s">
        <v>741</v>
      </c>
      <c r="E70" s="82" t="s">
        <v>477</v>
      </c>
      <c r="F70" s="82" t="s">
        <v>568</v>
      </c>
      <c r="G70" s="82" t="s">
        <v>527</v>
      </c>
      <c r="H70" s="82" t="s">
        <v>742</v>
      </c>
    </row>
    <row r="71" customFormat="false" ht="42.75" hidden="false" customHeight="true" outlineLevel="0" collapsed="false">
      <c r="A71" s="82" t="s">
        <v>743</v>
      </c>
      <c r="B71" s="82" t="s">
        <v>744</v>
      </c>
      <c r="C71" s="82" t="s">
        <v>700</v>
      </c>
      <c r="D71" s="82" t="s">
        <v>745</v>
      </c>
      <c r="E71" s="82" t="s">
        <v>502</v>
      </c>
      <c r="F71" s="82" t="s">
        <v>746</v>
      </c>
      <c r="G71" s="82" t="s">
        <v>527</v>
      </c>
      <c r="H71" s="82"/>
    </row>
    <row r="72" customFormat="false" ht="15" hidden="false" customHeight="true" outlineLevel="0" collapsed="false">
      <c r="A72" s="82" t="s">
        <v>747</v>
      </c>
      <c r="B72" s="82" t="s">
        <v>748</v>
      </c>
      <c r="C72" s="82" t="s">
        <v>749</v>
      </c>
      <c r="D72" s="82" t="s">
        <v>476</v>
      </c>
      <c r="E72" s="82" t="s">
        <v>484</v>
      </c>
      <c r="F72" s="82" t="s">
        <v>478</v>
      </c>
      <c r="G72" s="82" t="s">
        <v>479</v>
      </c>
      <c r="H72" s="82"/>
    </row>
    <row r="73" customFormat="false" ht="15" hidden="false" customHeight="true" outlineLevel="0" collapsed="false">
      <c r="A73" s="82" t="s">
        <v>750</v>
      </c>
      <c r="B73" s="82" t="s">
        <v>751</v>
      </c>
      <c r="C73" s="82" t="s">
        <v>752</v>
      </c>
      <c r="D73" s="82" t="s">
        <v>476</v>
      </c>
      <c r="E73" s="82" t="s">
        <v>484</v>
      </c>
      <c r="F73" s="82" t="s">
        <v>478</v>
      </c>
      <c r="G73" s="82" t="s">
        <v>479</v>
      </c>
      <c r="H73" s="82"/>
    </row>
    <row r="74" customFormat="false" ht="15" hidden="false" customHeight="true" outlineLevel="0" collapsed="false">
      <c r="A74" s="82" t="s">
        <v>753</v>
      </c>
      <c r="B74" s="82" t="s">
        <v>754</v>
      </c>
      <c r="C74" s="82" t="s">
        <v>537</v>
      </c>
      <c r="D74" s="82" t="s">
        <v>755</v>
      </c>
      <c r="E74" s="82" t="s">
        <v>756</v>
      </c>
      <c r="F74" s="82" t="s">
        <v>527</v>
      </c>
      <c r="G74" s="82" t="s">
        <v>527</v>
      </c>
      <c r="H74" s="82" t="s">
        <v>757</v>
      </c>
    </row>
    <row r="75" customFormat="false" ht="42.75" hidden="false" customHeight="true" outlineLevel="0" collapsed="false">
      <c r="A75" s="82" t="s">
        <v>758</v>
      </c>
      <c r="B75" s="82" t="s">
        <v>759</v>
      </c>
      <c r="C75" s="82" t="s">
        <v>760</v>
      </c>
      <c r="D75" s="82" t="s">
        <v>761</v>
      </c>
      <c r="E75" s="82" t="s">
        <v>502</v>
      </c>
      <c r="F75" s="82" t="s">
        <v>762</v>
      </c>
      <c r="G75" s="82" t="s">
        <v>527</v>
      </c>
      <c r="H75" s="82" t="s">
        <v>763</v>
      </c>
    </row>
    <row r="76" customFormat="false" ht="28.5" hidden="false" customHeight="true" outlineLevel="0" collapsed="false">
      <c r="A76" s="82" t="s">
        <v>764</v>
      </c>
      <c r="B76" s="82" t="s">
        <v>765</v>
      </c>
      <c r="C76" s="82" t="s">
        <v>766</v>
      </c>
      <c r="D76" s="82" t="s">
        <v>524</v>
      </c>
      <c r="E76" s="82" t="s">
        <v>484</v>
      </c>
      <c r="F76" s="82" t="s">
        <v>478</v>
      </c>
      <c r="G76" s="82" t="s">
        <v>767</v>
      </c>
      <c r="H76" s="82" t="s">
        <v>768</v>
      </c>
    </row>
    <row r="77" customFormat="false" ht="28.5" hidden="false" customHeight="true" outlineLevel="0" collapsed="false">
      <c r="A77" s="82" t="s">
        <v>769</v>
      </c>
      <c r="B77" s="82" t="s">
        <v>770</v>
      </c>
      <c r="C77" s="82" t="s">
        <v>771</v>
      </c>
      <c r="D77" s="82" t="s">
        <v>772</v>
      </c>
      <c r="E77" s="82" t="s">
        <v>525</v>
      </c>
      <c r="F77" s="82" t="s">
        <v>773</v>
      </c>
      <c r="G77" s="82" t="s">
        <v>527</v>
      </c>
      <c r="H77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2026-09-24T20:55:51Z</dcterms:created>
  <dc:creator>openpyxl</dc:creator>
  <dc:description/>
  <dc:language>en-US</dc:language>
  <cp:lastModifiedBy/>
  <dcterms:modified xsi:type="dcterms:W3CDTF">2026-09-24T20:55:51Z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